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fd72b51a5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 transforms" sheetId="1" r:id="Re34fd8be406a4d38"/>
    <x:sheet xmlns:r="http://schemas.openxmlformats.org/officeDocument/2006/relationships" name="CAD inputs" sheetId="2" r:id="Rf6e8a811509d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"/>
    <x:numFmt numFmtId="201" formatCode="0.000E+00"/>
  </x:numFmts>
  <x:fonts count="4">
    <x:font>
      <x:sz val="11"/>
      <x:name val="Carlito"/>
    </x:font>
    <x:font>
      <x:sz val="10"/>
      <x:color rgb="FF18384B"/>
      <x:name val="Arial"/>
    </x:font>
    <x:font>
      <x:b/>
      <x:sz val="14"/>
      <x:color rgb="FF18384B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F57"/>
      </x:patternFill>
    </x:fill>
    <x:fill>
      <x:patternFill patternType="solid">
        <x:fgColor rgb="FFFFF2C6"/>
      </x:patternFill>
    </x:fill>
    <x:fill>
      <x:patternFill patternType="solid">
        <x:fgColor rgb="FFEFF3F6"/>
      </x:patternFill>
    </x:fill>
    <x:fill>
      <x:patternFill patternType="solid">
        <x:fgColor rgb="FFFFFFFF"/>
      </x:patternFill>
    </x:fill>
    <x:fill>
      <x:patternFill patternType="solid">
        <x:fgColor rgb="FFEFF3F6"/>
      </x:patternFill>
    </x:fill>
    <x:fill>
      <x:patternFill patternType="solid">
        <x:fgColor rgb="FFFFFFFF"/>
      </x:patternFill>
    </x:fill>
    <x:fill>
      <x:patternFill patternType="solid">
        <x:fgColor rgb="FFEFF3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0" fontId="0" fillId="4" borderId="0" xfId="0" applyNumberFormat="1" applyFont="1" applyFill="1" applyBorder="1"/>
    <x:xf numFmtId="0" fontId="1" fillId="7" borderId="0" xfId="0" applyNumberFormat="1" applyFont="1" applyFill="1" applyBorder="1"/>
    <x:xf numFmtId="200" fontId="1" fillId="7" borderId="0" xfId="0" applyNumberFormat="1" applyFont="1" applyFill="1" applyBorder="1"/>
    <x:xf numFmtId="0" fontId="1" fillId="8" borderId="0" xfId="0" applyNumberFormat="1" applyFont="1" applyFill="1" applyBorder="1"/>
    <x:xf numFmtId="200" fontId="1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e4c27ce0545d4" /><Relationship Type="http://schemas.openxmlformats.org/officeDocument/2006/relationships/theme" Target="/xl/theme/theme1.xml" Id="R92e2c9de98d34c35" /><Relationship Type="http://schemas.openxmlformats.org/officeDocument/2006/relationships/sharedStrings" Target="/xl/sharedStrings.xml" Id="R2b3ef3ab754c4b32" /><Relationship Type="http://schemas.openxmlformats.org/officeDocument/2006/relationships/worksheet" Target="/xl/worksheets/sheet1.xml" Id="Re34fd8be406a4d38" /><Relationship Type="http://schemas.openxmlformats.org/officeDocument/2006/relationships/worksheet" Target="/xl/worksheets/sheet2.xml" Id="Rf6e8a811509d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6" max="16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0" customHeight="1">
      <x:c r="A2" s="2" t="str">
        <x:v>A3 v3 | CAD-derived marker transforms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0" customHeight="1">
      <x:c r="A3" s="1" t="str">
        <x:v>17 stations: front 7 unchanged + rear 5/5 | pelvis_link metres | CAD nominal, not physical calibration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0" customHeight="1">
      <x:c r="A4" s="1" t="str">
        <x:v>Sticker thickness: 0.20 mm nominal. Mount seat is NOT the ball sphere centre.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8" customHeight="1">
      <x:c r="A6" s="6" t="str">
        <x:v>ID</x:v>
      </x:c>
      <x:c r="B6" s="6" t="str">
        <x:v>Sticker x (m)</x:v>
      </x:c>
      <x:c r="C6" s="6" t="str">
        <x:v>Sticker y (m)</x:v>
      </x:c>
      <x:c r="D6" s="6" t="str">
        <x:v>Sticker z (m)</x:v>
      </x:c>
      <x:c r="E6" s="6" t="str">
        <x:v>Seat x (m)</x:v>
      </x:c>
      <x:c r="F6" s="6" t="str">
        <x:v>Seat y (m)</x:v>
      </x:c>
      <x:c r="G6" s="6" t="str">
        <x:v>Seat z (m)</x:v>
      </x:c>
      <x:c r="H6" s="6" t="str">
        <x:v>qx</x:v>
      </x:c>
      <x:c r="I6" s="6" t="str">
        <x:v>qy</x:v>
      </x:c>
      <x:c r="J6" s="6" t="str">
        <x:v>qz</x:v>
      </x:c>
      <x:c r="K6" s="6" t="str">
        <x:v>qw</x:v>
      </x:c>
      <x:c r="L6" s="6" t="str">
        <x:v>Normal x</x:v>
      </x:c>
      <x:c r="M6" s="6" t="str">
        <x:v>Normal y</x:v>
      </x:c>
      <x:c r="N6" s="6" t="str">
        <x:v>Normal z</x:v>
      </x:c>
      <x:c r="O6" s="1"/>
      <x:c r="P6" s="1" t="str">
        <x:v>Notes</x:v>
      </x:c>
      <x:c r="Q6" s="1"/>
      <x:c r="R6" s="1"/>
    </x:row>
    <x:row r="7" ht="20" customHeight="1">
      <x:c r="A7" s="22" t="str">
        <x:f>'CAD inputs'!A11</x:f>
        <x:v>S04</x:v>
      </x:c>
      <x:c r="B7" s="23" t="n">
        <x:f>(SUMPRODUCT('CAD inputs'!$B$5:$D$5,'CAD inputs'!B11:D11)+'CAD inputs'!$E$5+'CAD inputs'!$H$4*SUMPRODUCT('CAD inputs'!$B$5:$D$5,'CAD inputs'!E11:G11))/'CAD inputs'!$H$5</x:f>
        <x:v>-0.023680990173136414</x:v>
      </x:c>
      <x:c r="C7" s="23" t="n">
        <x:f>(SUMPRODUCT('CAD inputs'!$B$6:$D$6,'CAD inputs'!B11:D11)+'CAD inputs'!$E$6+'CAD inputs'!$H$4*SUMPRODUCT('CAD inputs'!$B$6:$D$6,'CAD inputs'!E11:G11))/'CAD inputs'!$H$5</x:f>
        <x:v>0.0720530903738071</x:v>
      </x:c>
      <x:c r="D7" s="23" t="n">
        <x:f>(SUMPRODUCT('CAD inputs'!$B$7:$D$7,'CAD inputs'!B11:D11)+'CAD inputs'!$E$7+'CAD inputs'!$H$4*SUMPRODUCT('CAD inputs'!$B$7:$D$7,'CAD inputs'!E11:G11))/'CAD inputs'!$H$5</x:f>
        <x:v>-0.06163051731522128</x:v>
      </x:c>
      <x:c r="E7" s="23" t="n">
        <x:f>(SUMPRODUCT('CAD inputs'!$B$5:$D$5,'CAD inputs'!B11:D11)+'CAD inputs'!$E$5)/'CAD inputs'!$H$5</x:f>
        <x:v>-0.023647555582752063</x:v>
      </x:c>
      <x:c r="F7" s="23" t="n">
        <x:f>(SUMPRODUCT('CAD inputs'!$B$6:$D$6,'CAD inputs'!B11:D11)+'CAD inputs'!$E$6)/'CAD inputs'!$H$5</x:f>
        <x:v>0.07185597273019151</x:v>
      </x:c>
      <x:c r="G7" s="23" t="n">
        <x:f>(SUMPRODUCT('CAD inputs'!$B$7:$D$7,'CAD inputs'!B11:D11)+'CAD inputs'!$E$7)/'CAD inputs'!$H$5</x:f>
        <x:v>-0.061635690587035837</x:v>
      </x:c>
      <x:c r="H7" s="23" t="n">
        <x:f>'CAD inputs'!H11</x:f>
        <x:v>0.05856119828838858</x:v>
      </x:c>
      <x:c r="I7" s="23" t="n">
        <x:f>'CAD inputs'!I11</x:f>
        <x:v>-0.6954404406695306</x:v>
      </x:c>
      <x:c r="J7" s="23" t="n">
        <x:f>'CAD inputs'!J11</x:f>
        <x:v>-0.7136677390825558</x:v>
      </x:c>
      <x:c r="K7" s="23" t="n">
        <x:f>'CAD inputs'!K11</x:f>
        <x:v>0.060096070829880645</x:v>
      </x:c>
      <x:c r="L7" s="23" t="n">
        <x:f>SUMPRODUCT('CAD inputs'!$B$5:$D$5,'CAD inputs'!E11:G11)</x:f>
        <x:v>-0.1671729519217581</x:v>
      </x:c>
      <x:c r="M7" s="23" t="n">
        <x:f>SUMPRODUCT('CAD inputs'!$B$6:$D$6,'CAD inputs'!E11:G11)</x:f>
        <x:v>0.9855882180779572</x:v>
      </x:c>
      <x:c r="N7" s="23" t="n">
        <x:f>SUMPRODUCT('CAD inputs'!$B$7:$D$7,'CAD inputs'!E11:G11)</x:f>
        <x:v>0.02586635907279422</x:v>
      </x:c>
      <x:c r="O7" s="1"/>
      <x:c r="P7" s="1" t="str">
        <x:v>17 stations: S04-S08, S11-S22</x:v>
      </x:c>
      <x:c r="Q7" s="1"/>
      <x:c r="R7" s="1"/>
    </x:row>
    <x:row r="8" ht="20" customHeight="1">
      <x:c r="A8" s="24" t="str">
        <x:f>'CAD inputs'!A12</x:f>
        <x:v>S05</x:v>
      </x:c>
      <x:c r="B8" s="25" t="n">
        <x:f>(SUMPRODUCT('CAD inputs'!$B$5:$D$5,'CAD inputs'!B12:D12)+'CAD inputs'!$E$5+'CAD inputs'!$H$4*SUMPRODUCT('CAD inputs'!$B$5:$D$5,'CAD inputs'!E12:G12))/'CAD inputs'!$H$5</x:f>
        <x:v>-0.06716639744744483</x:v>
      </x:c>
      <x:c r="C8" s="25" t="n">
        <x:f>(SUMPRODUCT('CAD inputs'!$B$6:$D$6,'CAD inputs'!B12:D12)+'CAD inputs'!$E$6+'CAD inputs'!$H$4*SUMPRODUCT('CAD inputs'!$B$6:$D$6,'CAD inputs'!E12:G12))/'CAD inputs'!$H$5</x:f>
        <x:v>0.04726614744705359</x:v>
      </x:c>
      <x:c r="D8" s="25" t="n">
        <x:f>(SUMPRODUCT('CAD inputs'!$B$7:$D$7,'CAD inputs'!B12:D12)+'CAD inputs'!$E$7+'CAD inputs'!$H$4*SUMPRODUCT('CAD inputs'!$B$7:$D$7,'CAD inputs'!E12:G12))/'CAD inputs'!$H$5</x:f>
        <x:v>-0.05458165891586195</x:v>
      </x:c>
      <x:c r="E8" s="25" t="n">
        <x:f>(SUMPRODUCT('CAD inputs'!$B$5:$D$5,'CAD inputs'!B12:D12)+'CAD inputs'!$E$5)/'CAD inputs'!$H$5</x:f>
        <x:v>-0.0670064013049042</x:v>
      </x:c>
      <x:c r="F8" s="25" t="n">
        <x:f>(SUMPRODUCT('CAD inputs'!$B$6:$D$6,'CAD inputs'!B12:D12)+'CAD inputs'!$E$6)/'CAD inputs'!$H$5</x:f>
        <x:v>0.04714635787945944</x:v>
      </x:c>
      <x:c r="G8" s="25" t="n">
        <x:f>(SUMPRODUCT('CAD inputs'!$B$7:$D$7,'CAD inputs'!B12:D12)+'CAD inputs'!$E$7)/'CAD inputs'!$H$5</x:f>
        <x:v>-0.05458884876062551</x:v>
      </x:c>
      <x:c r="H8" s="25" t="n">
        <x:f>'CAD inputs'!H12</x:f>
        <x:v>0.3107495676387187</x:v>
      </x:c>
      <x:c r="I8" s="25" t="n">
        <x:f>'CAD inputs'!I12</x:f>
        <x:v>-0.6208543261534369</x:v>
      </x:c>
      <x:c r="J8" s="25" t="n">
        <x:f>'CAD inputs'!J12</x:f>
        <x:v>-0.6435895621528547</x:v>
      </x:c>
      <x:c r="K8" s="25" t="n">
        <x:f>'CAD inputs'!K12</x:f>
        <x:v>0.32212899186010574</x:v>
      </x:c>
      <x:c r="L8" s="25" t="n">
        <x:f>SUMPRODUCT('CAD inputs'!$B$5:$D$5,'CAD inputs'!E12:G12)</x:f>
        <x:v>-0.7999807127031673</x:v>
      </x:c>
      <x:c r="M8" s="25" t="n">
        <x:f>SUMPRODUCT('CAD inputs'!$B$6:$D$6,'CAD inputs'!E12:G12)</x:f>
        <x:v>0.5989478379707436</x:v>
      </x:c>
      <x:c r="N8" s="25" t="n">
        <x:f>SUMPRODUCT('CAD inputs'!$B$7:$D$7,'CAD inputs'!E12:G12)</x:f>
        <x:v>0.035949223817822396</x:v>
      </x:c>
      <x:c r="O8" s="1"/>
      <x:c r="P8" s="1" t="str">
        <x:v>Front seven unchanged; rear rows five each</x:v>
      </x:c>
      <x:c r="Q8" s="1"/>
      <x:c r="R8" s="1"/>
    </x:row>
    <x:row r="9" ht="20" customHeight="1">
      <x:c r="A9" s="22" t="str">
        <x:f>'CAD inputs'!A13</x:f>
        <x:v>S06</x:v>
      </x:c>
      <x:c r="B9" s="23" t="n">
        <x:f>(SUMPRODUCT('CAD inputs'!$B$5:$D$5,'CAD inputs'!B13:D13)+'CAD inputs'!$E$5+'CAD inputs'!$H$4*SUMPRODUCT('CAD inputs'!$B$5:$D$5,'CAD inputs'!E13:G13))/'CAD inputs'!$H$5</x:f>
        <x:v>-0.07900139786866815</x:v>
      </x:c>
      <x:c r="C9" s="23" t="n">
        <x:f>(SUMPRODUCT('CAD inputs'!$B$6:$D$6,'CAD inputs'!B13:D13)+'CAD inputs'!$E$6+'CAD inputs'!$H$4*SUMPRODUCT('CAD inputs'!$B$6:$D$6,'CAD inputs'!E13:G13))/'CAD inputs'!$H$5</x:f>
        <x:v>-0.001320496284260377</x:v>
      </x:c>
      <x:c r="D9" s="23" t="n">
        <x:f>(SUMPRODUCT('CAD inputs'!$B$7:$D$7,'CAD inputs'!B13:D13)+'CAD inputs'!$E$7+'CAD inputs'!$H$4*SUMPRODUCT('CAD inputs'!$B$7:$D$7,'CAD inputs'!E13:G13))/'CAD inputs'!$H$5</x:f>
        <x:v>-0.05760386999991668</x:v>
      </x:c>
      <x:c r="E9" s="23" t="n">
        <x:f>(SUMPRODUCT('CAD inputs'!$B$5:$D$5,'CAD inputs'!B13:D13)+'CAD inputs'!$E$5)/'CAD inputs'!$H$5</x:f>
        <x:v>-0.07880150417492846</x:v>
      </x:c>
      <x:c r="F9" s="23" t="n">
        <x:f>(SUMPRODUCT('CAD inputs'!$B$6:$D$6,'CAD inputs'!B13:D13)+'CAD inputs'!$E$6)/'CAD inputs'!$H$5</x:f>
        <x:v>-0.0013188903482553981</x:v>
      </x:c>
      <x:c r="G9" s="23" t="n">
        <x:f>(SUMPRODUCT('CAD inputs'!$B$7:$D$7,'CAD inputs'!B13:D13)+'CAD inputs'!$E$7)/'CAD inputs'!$H$5</x:f>
        <x:v>-0.05761018919073898</x:v>
      </x:c>
      <x:c r="H9" s="23" t="n">
        <x:f>'CAD inputs'!H13</x:f>
        <x:v>0.4940100972689909</x:v>
      </x:c>
      <x:c r="I9" s="23" t="n">
        <x:f>'CAD inputs'!I13</x:f>
        <x:v>-0.49005718721445896</x:v>
      </x:c>
      <x:c r="J9" s="23" t="n">
        <x:f>'CAD inputs'!J13</x:f>
        <x:v>-0.5057935425934543</x:v>
      </x:c>
      <x:c r="K9" s="23" t="n">
        <x:f>'CAD inputs'!K13</x:f>
        <x:v>0.5098733855836155</x:v>
      </x:c>
      <x:c r="L9" s="23" t="n">
        <x:f>SUMPRODUCT('CAD inputs'!$B$5:$D$5,'CAD inputs'!E13:G13)</x:f>
        <x:v>-0.9994684686984797</x:v>
      </x:c>
      <x:c r="M9" s="23" t="n">
        <x:f>SUMPRODUCT('CAD inputs'!$B$6:$D$6,'CAD inputs'!E13:G13)</x:f>
        <x:v>-0.008029680024893465</x:v>
      </x:c>
      <x:c r="N9" s="23" t="n">
        <x:f>SUMPRODUCT('CAD inputs'!$B$7:$D$7,'CAD inputs'!E13:G13)</x:f>
        <x:v>0.03159595411146976</x:v>
      </x:c>
      <x:c r="O9" s="1"/>
      <x:c r="P9" s="1" t="str">
        <x:v>Local +z = outward; quaternion x,y,z,w</x:v>
      </x:c>
      <x:c r="Q9" s="1"/>
      <x:c r="R9" s="1"/>
    </x:row>
    <x:row r="10" ht="20" customHeight="1">
      <x:c r="A10" s="24" t="str">
        <x:f>'CAD inputs'!A14</x:f>
        <x:v>S07</x:v>
      </x:c>
      <x:c r="B10" s="25" t="n">
        <x:f>(SUMPRODUCT('CAD inputs'!$B$5:$D$5,'CAD inputs'!B14:D14)+'CAD inputs'!$E$5+'CAD inputs'!$H$4*SUMPRODUCT('CAD inputs'!$B$5:$D$5,'CAD inputs'!E14:G14))/'CAD inputs'!$H$5</x:f>
        <x:v>-0.06380590807637862</x:v>
      </x:c>
      <x:c r="C10" s="25" t="n">
        <x:f>(SUMPRODUCT('CAD inputs'!$B$6:$D$6,'CAD inputs'!B14:D14)+'CAD inputs'!$E$6+'CAD inputs'!$H$4*SUMPRODUCT('CAD inputs'!$B$6:$D$6,'CAD inputs'!E14:G14))/'CAD inputs'!$H$5</x:f>
        <x:v>-0.052205169099460054</x:v>
      </x:c>
      <x:c r="D10" s="25" t="n">
        <x:f>(SUMPRODUCT('CAD inputs'!$B$7:$D$7,'CAD inputs'!B14:D14)+'CAD inputs'!$E$7+'CAD inputs'!$H$4*SUMPRODUCT('CAD inputs'!$B$7:$D$7,'CAD inputs'!E14:G14))/'CAD inputs'!$H$5</x:f>
        <x:v>-0.06049803846810446</x:v>
      </x:c>
      <x:c r="E10" s="25" t="n">
        <x:f>(SUMPRODUCT('CAD inputs'!$B$5:$D$5,'CAD inputs'!B14:D14)+'CAD inputs'!$E$5)/'CAD inputs'!$H$5</x:f>
        <x:v>-0.06365913458475188</x:v>
      </x:c>
      <x:c r="F10" s="25" t="n">
        <x:f>(SUMPRODUCT('CAD inputs'!$B$6:$D$6,'CAD inputs'!B14:D14)+'CAD inputs'!$E$6)/'CAD inputs'!$H$5</x:f>
        <x:v>-0.052069635869714886</x:v>
      </x:c>
      <x:c r="G10" s="25" t="n">
        <x:f>(SUMPRODUCT('CAD inputs'!$B$7:$D$7,'CAD inputs'!B14:D14)+'CAD inputs'!$E$7)/'CAD inputs'!$H$5</x:f>
        <x:v>-0.06050743451996375</x:v>
      </x:c>
      <x:c r="H10" s="25" t="n">
        <x:f>'CAD inputs'!H14</x:f>
        <x:v>0.6323691286174535</x:v>
      </x:c>
      <x:c r="I10" s="25" t="n">
        <x:f>'CAD inputs'!I14</x:f>
        <x:v>-0.27680165375838434</x:v>
      </x:c>
      <x:c r="J10" s="25" t="n">
        <x:f>'CAD inputs'!J14</x:f>
        <x:v>-0.29012621937210503</x:v>
      </x:c>
      <x:c r="K10" s="25" t="n">
        <x:f>'CAD inputs'!K14</x:f>
        <x:v>0.662809856958295</x:v>
      </x:c>
      <x:c r="L10" s="25" t="n">
        <x:f>SUMPRODUCT('CAD inputs'!$B$5:$D$5,'CAD inputs'!E14:G14)</x:f>
        <x:v>-0.7338674581336567</x:v>
      </x:c>
      <x:c r="M10" s="25" t="n">
        <x:f>SUMPRODUCT('CAD inputs'!$B$6:$D$6,'CAD inputs'!E14:G14)</x:f>
        <x:v>-0.6776661487258189</x:v>
      </x:c>
      <x:c r="N10" s="25" t="n">
        <x:f>SUMPRODUCT('CAD inputs'!$B$7:$D$7,'CAD inputs'!E14:G14)</x:f>
        <x:v>0.04698025929645233</x:v>
      </x:c>
      <x:c r="O10" s="1"/>
      <x:c r="P10" s="1" t="str">
        <x:v>Same orientation at seat and sticker</x:v>
      </x:c>
      <x:c r="Q10" s="1"/>
      <x:c r="R10" s="1"/>
    </x:row>
    <x:row r="11" ht="20" customHeight="1">
      <x:c r="A11" s="22" t="str">
        <x:f>'CAD inputs'!A15</x:f>
        <x:v>S08</x:v>
      </x:c>
      <x:c r="B11" s="23" t="n">
        <x:f>(SUMPRODUCT('CAD inputs'!$B$5:$D$5,'CAD inputs'!B15:D15)+'CAD inputs'!$E$5+'CAD inputs'!$H$4*SUMPRODUCT('CAD inputs'!$B$5:$D$5,'CAD inputs'!E15:G15))/'CAD inputs'!$H$5</x:f>
        <x:v>-0.01987454272554472</x:v>
      </x:c>
      <x:c r="C11" s="23" t="n">
        <x:f>(SUMPRODUCT('CAD inputs'!$B$6:$D$6,'CAD inputs'!B15:D15)+'CAD inputs'!$E$6+'CAD inputs'!$H$4*SUMPRODUCT('CAD inputs'!$B$6:$D$6,'CAD inputs'!E15:G15))/'CAD inputs'!$H$5</x:f>
        <x:v>-0.07203552223839307</x:v>
      </x:c>
      <x:c r="D11" s="23" t="n">
        <x:f>(SUMPRODUCT('CAD inputs'!$B$7:$D$7,'CAD inputs'!B15:D15)+'CAD inputs'!$E$7+'CAD inputs'!$H$4*SUMPRODUCT('CAD inputs'!$B$7:$D$7,'CAD inputs'!E15:G15))/'CAD inputs'!$H$5</x:f>
        <x:v>-0.05466906359472224</x:v>
      </x:c>
      <x:c r="E11" s="23" t="n">
        <x:f>(SUMPRODUCT('CAD inputs'!$B$5:$D$5,'CAD inputs'!B15:D15)+'CAD inputs'!$E$5)/'CAD inputs'!$H$5</x:f>
        <x:v>-0.019843924590420493</x:v>
      </x:c>
      <x:c r="F11" s="23" t="n">
        <x:f>(SUMPRODUCT('CAD inputs'!$B$6:$D$6,'CAD inputs'!B15:D15)+'CAD inputs'!$E$6)/'CAD inputs'!$H$5</x:f>
        <x:v>-0.07183792806666918</x:v>
      </x:c>
      <x:c r="G11" s="23" t="n">
        <x:f>(SUMPRODUCT('CAD inputs'!$B$7:$D$7,'CAD inputs'!B15:D15)+'CAD inputs'!$E$7)/'CAD inputs'!$H$5</x:f>
        <x:v>-0.05467343087102038</x:v>
      </x:c>
      <x:c r="H11" s="23" t="n">
        <x:f>'CAD inputs'!H15</x:f>
        <x:v>0.697278863401055</x:v>
      </x:c>
      <x:c r="I11" s="23" t="n">
        <x:f>'CAD inputs'!I15</x:f>
        <x:v>-0.05370284823698751</x:v>
      </x:c>
      <x:c r="J11" s="23" t="n">
        <x:f>'CAD inputs'!J15</x:f>
        <x:v>-0.05488861187991103</x:v>
      </x:c>
      <x:c r="K11" s="23" t="n">
        <x:f>'CAD inputs'!K15</x:f>
        <x:v>0.7126748424290452</x:v>
      </x:c>
      <x:c r="L11" s="23" t="n">
        <x:f>SUMPRODUCT('CAD inputs'!$B$5:$D$5,'CAD inputs'!E15:G15)</x:f>
        <x:v>-0.15309067562114403</x:v>
      </x:c>
      <x:c r="M11" s="23" t="n">
        <x:f>SUMPRODUCT('CAD inputs'!$B$6:$D$6,'CAD inputs'!E15:G15)</x:f>
        <x:v>-0.9879708586194498</x:v>
      </x:c>
      <x:c r="N11" s="23" t="n">
        <x:f>SUMPRODUCT('CAD inputs'!$B$7:$D$7,'CAD inputs'!E15:G15)</x:f>
        <x:v>0.021836381490736106</x:v>
      </x:c>
      <x:c r="O11" s="1"/>
      <x:c r="P11" s="1" t="str">
        <x:v>Round-marker roll is a CAD convention</x:v>
      </x:c>
      <x:c r="Q11" s="1"/>
      <x:c r="R11" s="1"/>
    </x:row>
    <x:row r="12" ht="20" customHeight="1">
      <x:c r="A12" s="24" t="str">
        <x:f>'CAD inputs'!A16</x:f>
        <x:v>S11</x:v>
      </x:c>
      <x:c r="B12" s="25" t="n">
        <x:f>(SUMPRODUCT('CAD inputs'!$B$5:$D$5,'CAD inputs'!B16:D16)+'CAD inputs'!$E$5+'CAD inputs'!$H$4*SUMPRODUCT('CAD inputs'!$B$5:$D$5,'CAD inputs'!E16:G16))/'CAD inputs'!$H$5</x:f>
        <x:v>0.06868105391847117</x:v>
      </x:c>
      <x:c r="C12" s="25" t="n">
        <x:f>(SUMPRODUCT('CAD inputs'!$B$6:$D$6,'CAD inputs'!B16:D16)+'CAD inputs'!$E$6+'CAD inputs'!$H$4*SUMPRODUCT('CAD inputs'!$B$6:$D$6,'CAD inputs'!E16:G16))/'CAD inputs'!$H$5</x:f>
        <x:v>0.013752571991217983</x:v>
      </x:c>
      <x:c r="D12" s="25" t="n">
        <x:f>(SUMPRODUCT('CAD inputs'!$B$7:$D$7,'CAD inputs'!B16:D16)+'CAD inputs'!$E$7+'CAD inputs'!$H$4*SUMPRODUCT('CAD inputs'!$B$7:$D$7,'CAD inputs'!E16:G16))/'CAD inputs'!$H$5</x:f>
        <x:v>-0.09337153719289586</x:v>
      </x:c>
      <x:c r="E12" s="25" t="n">
        <x:f>(SUMPRODUCT('CAD inputs'!$B$5:$D$5,'CAD inputs'!B16:D16)+'CAD inputs'!$E$5)/'CAD inputs'!$H$5</x:f>
        <x:v>0.06848216909613461</x:v>
      </x:c>
      <x:c r="F12" s="25" t="n">
        <x:f>(SUMPRODUCT('CAD inputs'!$B$6:$D$6,'CAD inputs'!B16:D16)+'CAD inputs'!$E$6)/'CAD inputs'!$H$5</x:f>
        <x:v>0.01373596544527046</x:v>
      </x:c>
      <x:c r="G12" s="25" t="n">
        <x:f>(SUMPRODUCT('CAD inputs'!$B$7:$D$7,'CAD inputs'!B16:D16)+'CAD inputs'!$E$7)/'CAD inputs'!$H$5</x:f>
        <x:v>-0.09338453911874751</x:v>
      </x:c>
      <x:c r="H12" s="25" t="n">
        <x:f>'CAD inputs'!H16</x:f>
        <x:v>0.46292304814952057</x:v>
      </x:c>
      <x:c r="I12" s="25" t="n">
        <x:f>'CAD inputs'!I16</x:f>
        <x:v>0.5031872781210176</x:v>
      </x:c>
      <x:c r="J12" s="25" t="n">
        <x:f>'CAD inputs'!J16</x:f>
        <x:v>0.5370353213443584</x:v>
      </x:c>
      <x:c r="K12" s="25" t="n">
        <x:f>'CAD inputs'!K16</x:f>
        <x:v>0.4940626258458335</x:v>
      </x:c>
      <x:c r="L12" s="25" t="n">
        <x:f>SUMPRODUCT('CAD inputs'!$B$5:$D$5,'CAD inputs'!E16:G16)</x:f>
        <x:v>0.9944241116827509</x:v>
      </x:c>
      <x:c r="M12" s="25" t="n">
        <x:f>SUMPRODUCT('CAD inputs'!$B$6:$D$6,'CAD inputs'!E16:G16)</x:f>
        <x:v>0.0830327297376088</x:v>
      </x:c>
      <x:c r="N12" s="25" t="n">
        <x:f>SUMPRODUCT('CAD inputs'!$B$7:$D$7,'CAD inputs'!E16:G16)</x:f>
        <x:v>0.06500962925823672</x:v>
      </x:c>
      <x:c r="O12" s="1"/>
      <x:c r="P12" s="1" t="str">
        <x:v>Restored five: CAD nominal, not observed</x:v>
      </x:c>
      <x:c r="Q12" s="1"/>
      <x:c r="R12" s="1"/>
    </x:row>
    <x:row r="13" ht="20" customHeight="1">
      <x:c r="A13" s="22" t="str">
        <x:f>'CAD inputs'!A17</x:f>
        <x:v>S12</x:v>
      </x:c>
      <x:c r="B13" s="23" t="n">
        <x:f>(SUMPRODUCT('CAD inputs'!$B$5:$D$5,'CAD inputs'!B17:D17)+'CAD inputs'!$E$5+'CAD inputs'!$H$4*SUMPRODUCT('CAD inputs'!$B$5:$D$5,'CAD inputs'!E17:G17))/'CAD inputs'!$H$5</x:f>
        <x:v>0.05571798318930855</x:v>
      </x:c>
      <x:c r="C13" s="23" t="n">
        <x:f>(SUMPRODUCT('CAD inputs'!$B$6:$D$6,'CAD inputs'!B17:D17)+'CAD inputs'!$E$6+'CAD inputs'!$H$4*SUMPRODUCT('CAD inputs'!$B$6:$D$6,'CAD inputs'!E17:G17))/'CAD inputs'!$H$5</x:f>
        <x:v>0.06898761695561013</x:v>
      </x:c>
      <x:c r="D13" s="23" t="n">
        <x:f>(SUMPRODUCT('CAD inputs'!$B$7:$D$7,'CAD inputs'!B17:D17)+'CAD inputs'!$E$7+'CAD inputs'!$H$4*SUMPRODUCT('CAD inputs'!$B$7:$D$7,'CAD inputs'!E17:G17))/'CAD inputs'!$H$5</x:f>
        <x:v>-0.10270562273954185</x:v>
      </x:c>
      <x:c r="E13" s="23" t="n">
        <x:f>(SUMPRODUCT('CAD inputs'!$B$5:$D$5,'CAD inputs'!B17:D17)+'CAD inputs'!$E$5)/'CAD inputs'!$H$5</x:f>
        <x:v>0.05557880901241151</x:v>
      </x:c>
      <x:c r="F13" s="23" t="n">
        <x:f>(SUMPRODUCT('CAD inputs'!$B$6:$D$6,'CAD inputs'!B17:D17)+'CAD inputs'!$E$6)/'CAD inputs'!$H$5</x:f>
        <x:v>0.06888540144163073</x:v>
      </x:c>
      <x:c r="G13" s="23" t="n">
        <x:f>(SUMPRODUCT('CAD inputs'!$B$7:$D$7,'CAD inputs'!B17:D17)+'CAD inputs'!$E$7)/'CAD inputs'!$H$5</x:f>
        <x:v>-0.10280653129808351</x:v>
      </x:c>
      <x:c r="H13" s="23" t="n">
        <x:f>'CAD inputs'!H17</x:f>
        <x:v>0.22481865561473563</x:v>
      </x:c>
      <x:c r="I13" s="23" t="n">
        <x:f>'CAD inputs'!I17</x:f>
        <x:v>0.44405537462507355</x:v>
      </x:c>
      <x:c r="J13" s="23" t="n">
        <x:f>'CAD inputs'!J17</x:f>
        <x:v>0.7738135460582974</x:v>
      </x:c>
      <x:c r="K13" s="23" t="n">
        <x:f>'CAD inputs'!K17</x:f>
        <x:v>0.39177033104977693</x:v>
      </x:c>
      <x:c r="L13" s="23" t="n">
        <x:f>SUMPRODUCT('CAD inputs'!$B$5:$D$5,'CAD inputs'!E17:G17)</x:f>
        <x:v>0.6958708844851907</x:v>
      </x:c>
      <x:c r="M13" s="23" t="n">
        <x:f>SUMPRODUCT('CAD inputs'!$B$6:$D$6,'CAD inputs'!E17:G17)</x:f>
        <x:v>0.511077569897046</x:v>
      </x:c>
      <x:c r="N13" s="23" t="n">
        <x:f>SUMPRODUCT('CAD inputs'!$B$7:$D$7,'CAD inputs'!E17:G17)</x:f>
        <x:v>0.5045427927083367</x:v>
      </x:c>
      <x:c r="O13" s="1"/>
      <x:c r="P13" s="1"/>
      <x:c r="Q13" s="1"/>
      <x:c r="R13" s="1"/>
    </x:row>
    <x:row r="14" ht="20" customHeight="1">
      <x:c r="A14" s="24" t="str">
        <x:f>'CAD inputs'!A18</x:f>
        <x:v>S13</x:v>
      </x:c>
      <x:c r="B14" s="25" t="n">
        <x:f>(SUMPRODUCT('CAD inputs'!$B$5:$D$5,'CAD inputs'!B18:D18)+'CAD inputs'!$E$5+'CAD inputs'!$H$4*SUMPRODUCT('CAD inputs'!$B$5:$D$5,'CAD inputs'!E18:G18))/'CAD inputs'!$H$5</x:f>
        <x:v>0.024198043210007736</x:v>
      </x:c>
      <x:c r="C14" s="25" t="n">
        <x:f>(SUMPRODUCT('CAD inputs'!$B$6:$D$6,'CAD inputs'!B18:D18)+'CAD inputs'!$E$6+'CAD inputs'!$H$4*SUMPRODUCT('CAD inputs'!$B$6:$D$6,'CAD inputs'!E18:G18))/'CAD inputs'!$H$5</x:f>
        <x:v>0.0826656627996192</x:v>
      </x:c>
      <x:c r="D14" s="25" t="n">
        <x:f>(SUMPRODUCT('CAD inputs'!$B$7:$D$7,'CAD inputs'!B18:D18)+'CAD inputs'!$E$7+'CAD inputs'!$H$4*SUMPRODUCT('CAD inputs'!$B$7:$D$7,'CAD inputs'!E18:G18))/'CAD inputs'!$H$5</x:f>
        <x:v>-0.09005373916977193</x:v>
      </x:c>
      <x:c r="E14" s="25" t="n">
        <x:f>(SUMPRODUCT('CAD inputs'!$B$5:$D$5,'CAD inputs'!B18:D18)+'CAD inputs'!$E$5)/'CAD inputs'!$H$5</x:f>
        <x:v>0.02414619289950585</x:v>
      </x:c>
      <x:c r="F14" s="25" t="n">
        <x:f>(SUMPRODUCT('CAD inputs'!$B$6:$D$6,'CAD inputs'!B18:D18)+'CAD inputs'!$E$6)/'CAD inputs'!$H$5</x:f>
        <x:v>0.08253720516152625</x:v>
      </x:c>
      <x:c r="G14" s="25" t="n">
        <x:f>(SUMPRODUCT('CAD inputs'!$B$7:$D$7,'CAD inputs'!B18:D18)+'CAD inputs'!$E$7)/'CAD inputs'!$H$5</x:f>
        <x:v>-0.09019799651106325</x:v>
      </x:c>
      <x:c r="H14" s="25" t="n">
        <x:f>'CAD inputs'!H18</x:f>
        <x:v>0.0711687085337274</x:v>
      </x:c>
      <x:c r="I14" s="25" t="n">
        <x:f>'CAD inputs'!I18</x:f>
        <x:v>0.366458267333876</x:v>
      </x:c>
      <x:c r="J14" s="25" t="n">
        <x:f>'CAD inputs'!J18</x:f>
        <x:v>0.910693610474095</x:v>
      </x:c>
      <x:c r="K14" s="25" t="n">
        <x:f>'CAD inputs'!K18</x:f>
        <x:v>0.17686294430985905</x:v>
      </x:c>
      <x:c r="L14" s="25" t="n">
        <x:f>SUMPRODUCT('CAD inputs'!$B$5:$D$5,'CAD inputs'!E18:G18)</x:f>
        <x:v>0.25925155250943493</x:v>
      </x:c>
      <x:c r="M14" s="25" t="n">
        <x:f>SUMPRODUCT('CAD inputs'!$B$6:$D$6,'CAD inputs'!E18:G18)</x:f>
        <x:v>0.6422881904647266</x:v>
      </x:c>
      <x:c r="N14" s="25" t="n">
        <x:f>SUMPRODUCT('CAD inputs'!$B$7:$D$7,'CAD inputs'!E18:G18)</x:f>
        <x:v>0.7212867064565895</x:v>
      </x:c>
      <x:c r="O14" s="1"/>
      <x:c r="P14" s="1"/>
      <x:c r="Q14" s="1"/>
      <x:c r="R14" s="1"/>
    </x:row>
    <x:row r="15" ht="20" customHeight="1">
      <x:c r="A15" s="22" t="str">
        <x:f>'CAD inputs'!A19</x:f>
        <x:v>S14</x:v>
      </x:c>
      <x:c r="B15" s="23" t="n">
        <x:f>(SUMPRODUCT('CAD inputs'!$B$5:$D$5,'CAD inputs'!B19:D19)+'CAD inputs'!$E$5+'CAD inputs'!$H$4*SUMPRODUCT('CAD inputs'!$B$5:$D$5,'CAD inputs'!E19:G19))/'CAD inputs'!$H$5</x:f>
        <x:v>-0.03552569961421297</x:v>
      </x:c>
      <x:c r="C15" s="23" t="n">
        <x:f>(SUMPRODUCT('CAD inputs'!$B$6:$D$6,'CAD inputs'!B19:D19)+'CAD inputs'!$E$6+'CAD inputs'!$H$4*SUMPRODUCT('CAD inputs'!$B$6:$D$6,'CAD inputs'!E19:G19))/'CAD inputs'!$H$5</x:f>
        <x:v>0.08245623509158644</x:v>
      </x:c>
      <x:c r="D15" s="23" t="n">
        <x:f>(SUMPRODUCT('CAD inputs'!$B$7:$D$7,'CAD inputs'!B19:D19)+'CAD inputs'!$E$7+'CAD inputs'!$H$4*SUMPRODUCT('CAD inputs'!$B$7:$D$7,'CAD inputs'!E19:G19))/'CAD inputs'!$H$5</x:f>
        <x:v>-0.09452907441673085</x:v>
      </x:c>
      <x:c r="E15" s="23" t="n">
        <x:f>(SUMPRODUCT('CAD inputs'!$B$5:$D$5,'CAD inputs'!B19:D19)+'CAD inputs'!$E$5)/'CAD inputs'!$H$5</x:f>
        <x:v>-0.03545312547706959</x:v>
      </x:c>
      <x:c r="F15" s="23" t="n">
        <x:f>(SUMPRODUCT('CAD inputs'!$B$6:$D$6,'CAD inputs'!B19:D19)+'CAD inputs'!$E$6)/'CAD inputs'!$H$5</x:f>
        <x:v>0.08232300741547999</x:v>
      </x:c>
      <x:c r="G15" s="23" t="n">
        <x:f>(SUMPRODUCT('CAD inputs'!$B$7:$D$7,'CAD inputs'!B19:D19)+'CAD inputs'!$E$7)/'CAD inputs'!$H$5</x:f>
        <x:v>-0.09465939471805482</x:v>
      </x:c>
      <x:c r="H15" s="23" t="n">
        <x:f>'CAD inputs'!H19</x:f>
        <x:v>0.10301558961431492</x:v>
      </x:c>
      <x:c r="I15" s="23" t="n">
        <x:f>'CAD inputs'!I19</x:f>
        <x:v>-0.4044589410391566</x:v>
      </x:c>
      <x:c r="J15" s="23" t="n">
        <x:f>'CAD inputs'!J19</x:f>
        <x:v>-0.8806208047624356</x:v>
      </x:c>
      <x:c r="K15" s="23" t="n">
        <x:f>'CAD inputs'!K19</x:f>
        <x:v>0.22429389543511719</x:v>
      </x:c>
      <x:c r="L15" s="23" t="n">
        <x:f>SUMPRODUCT('CAD inputs'!$B$5:$D$5,'CAD inputs'!E19:G19)</x:f>
        <x:v>-0.36287068571693926</x:v>
      </x:c>
      <x:c r="M15" s="23" t="n">
        <x:f>SUMPRODUCT('CAD inputs'!$B$6:$D$6,'CAD inputs'!E19:G19)</x:f>
        <x:v>0.6661383805322489</x:v>
      </x:c>
      <x:c r="N15" s="23" t="n">
        <x:f>SUMPRODUCT('CAD inputs'!$B$7:$D$7,'CAD inputs'!E19:G19)</x:f>
        <x:v>0.6516015066197982</x:v>
      </x:c>
      <x:c r="O15" s="1"/>
      <x:c r="P15" s="1"/>
      <x:c r="Q15" s="1"/>
      <x:c r="R15" s="1"/>
    </x:row>
    <x:row r="16" ht="20" customHeight="1">
      <x:c r="A16" s="24" t="str">
        <x:f>'CAD inputs'!A20</x:f>
        <x:v>S15</x:v>
      </x:c>
      <x:c r="B16" s="25" t="n">
        <x:f>(SUMPRODUCT('CAD inputs'!$B$5:$D$5,'CAD inputs'!B20:D20)+'CAD inputs'!$E$5+'CAD inputs'!$H$4*SUMPRODUCT('CAD inputs'!$B$5:$D$5,'CAD inputs'!E20:G20))/'CAD inputs'!$H$5</x:f>
        <x:v>-0.07788519755912626</x:v>
      </x:c>
      <x:c r="C16" s="25" t="n">
        <x:f>(SUMPRODUCT('CAD inputs'!$B$6:$D$6,'CAD inputs'!B20:D20)+'CAD inputs'!$E$6+'CAD inputs'!$H$4*SUMPRODUCT('CAD inputs'!$B$6:$D$6,'CAD inputs'!E20:G20))/'CAD inputs'!$H$5</x:f>
        <x:v>0.044044969609918515</x:v>
      </x:c>
      <x:c r="D16" s="25" t="n">
        <x:f>(SUMPRODUCT('CAD inputs'!$B$7:$D$7,'CAD inputs'!B20:D20)+'CAD inputs'!$E$7+'CAD inputs'!$H$4*SUMPRODUCT('CAD inputs'!$B$7:$D$7,'CAD inputs'!E20:G20))/'CAD inputs'!$H$5</x:f>
        <x:v>-0.0970231076197196</x:v>
      </x:c>
      <x:c r="E16" s="25" t="n">
        <x:f>(SUMPRODUCT('CAD inputs'!$B$5:$D$5,'CAD inputs'!B20:D20)+'CAD inputs'!$E$5)/'CAD inputs'!$H$5</x:f>
        <x:v>-0.07770800621599831</x:v>
      </x:c>
      <x:c r="F16" s="25" t="n">
        <x:f>(SUMPRODUCT('CAD inputs'!$B$6:$D$6,'CAD inputs'!B20:D20)+'CAD inputs'!$E$6)/'CAD inputs'!$H$5</x:f>
        <x:v>0.04397308136456305</x:v>
      </x:c>
      <x:c r="G16" s="25" t="n">
        <x:f>(SUMPRODUCT('CAD inputs'!$B$7:$D$7,'CAD inputs'!B20:D20)+'CAD inputs'!$E$7)/'CAD inputs'!$H$5</x:f>
        <x:v>-0.09708171912115253</x:v>
      </x:c>
      <x:c r="H16" s="25" t="n">
        <x:f>'CAD inputs'!H20</x:f>
        <x:v>0.3321029205775568</x:v>
      </x:c>
      <x:c r="I16" s="25" t="n">
        <x:f>'CAD inputs'!I20</x:f>
        <x:v>-0.49313172333722277</x:v>
      </x:c>
      <x:c r="J16" s="25" t="n">
        <x:f>'CAD inputs'!J20</x:f>
        <x:v>-0.6669293318010003</x:v>
      </x:c>
      <x:c r="K16" s="25" t="n">
        <x:f>'CAD inputs'!K20</x:f>
        <x:v>0.44914810471134015</x:v>
      </x:c>
      <x:c r="L16" s="25" t="n">
        <x:f>SUMPRODUCT('CAD inputs'!$B$5:$D$5,'CAD inputs'!E20:G20)</x:f>
        <x:v>-0.8859567156398026</x:v>
      </x:c>
      <x:c r="M16" s="25" t="n">
        <x:f>SUMPRODUCT('CAD inputs'!$B$6:$D$6,'CAD inputs'!E20:G20)</x:f>
        <x:v>0.3594412267773189</x:v>
      </x:c>
      <x:c r="N16" s="25" t="n">
        <x:f>SUMPRODUCT('CAD inputs'!$B$7:$D$7,'CAD inputs'!E20:G20)</x:f>
        <x:v>0.29305750716463563</x:v>
      </x:c>
      <x:c r="O16" s="1"/>
      <x:c r="P16" s="1"/>
      <x:c r="Q16" s="1"/>
      <x:c r="R16" s="1"/>
    </x:row>
    <x:row r="17" ht="20" customHeight="1">
      <x:c r="A17" s="22" t="str">
        <x:f>'CAD inputs'!A21</x:f>
        <x:v>S16</x:v>
      </x:c>
      <x:c r="B17" s="23" t="n">
        <x:f>(SUMPRODUCT('CAD inputs'!$B$5:$D$5,'CAD inputs'!B21:D21)+'CAD inputs'!$E$5+'CAD inputs'!$H$4*SUMPRODUCT('CAD inputs'!$B$5:$D$5,'CAD inputs'!E21:G21))/'CAD inputs'!$H$5</x:f>
        <x:v>-0.08661596624171623</x:v>
      </x:c>
      <x:c r="C17" s="23" t="n">
        <x:f>(SUMPRODUCT('CAD inputs'!$B$6:$D$6,'CAD inputs'!B21:D21)+'CAD inputs'!$E$6+'CAD inputs'!$H$4*SUMPRODUCT('CAD inputs'!$B$6:$D$6,'CAD inputs'!E21:G21))/'CAD inputs'!$H$5</x:f>
        <x:v>-0.01897416555022174</x:v>
      </x:c>
      <x:c r="D17" s="23" t="n">
        <x:f>(SUMPRODUCT('CAD inputs'!$B$7:$D$7,'CAD inputs'!B21:D21)+'CAD inputs'!$E$7+'CAD inputs'!$H$4*SUMPRODUCT('CAD inputs'!$B$7:$D$7,'CAD inputs'!E21:G21))/'CAD inputs'!$H$5</x:f>
        <x:v>-0.11390374895967703</x:v>
      </x:c>
      <x:c r="E17" s="23" t="n">
        <x:f>(SUMPRODUCT('CAD inputs'!$B$5:$D$5,'CAD inputs'!B21:D21)+'CAD inputs'!$E$5)/'CAD inputs'!$H$5</x:f>
        <x:v>-0.08641854364787557</x:v>
      </x:c>
      <x:c r="F17" s="23" t="n">
        <x:f>(SUMPRODUCT('CAD inputs'!$B$6:$D$6,'CAD inputs'!B21:D21)+'CAD inputs'!$E$6)/'CAD inputs'!$H$5</x:f>
        <x:v>-0.018962664523138297</x:v>
      </x:c>
      <x:c r="G17" s="23" t="n">
        <x:f>(SUMPRODUCT('CAD inputs'!$B$7:$D$7,'CAD inputs'!B21:D21)+'CAD inputs'!$E$7)/'CAD inputs'!$H$5</x:f>
        <x:v>-0.11393361609575078</x:v>
      </x:c>
      <x:c r="H17" s="23" t="n">
        <x:f>'CAD inputs'!H21</x:f>
        <x:v>0.47437765588379593</x:v>
      </x:c>
      <x:c r="I17" s="23" t="n">
        <x:f>'CAD inputs'!I21</x:f>
        <x:v>-0.44754664495875124</x:v>
      </x:c>
      <x:c r="J17" s="23" t="n">
        <x:f>'CAD inputs'!J21</x:f>
        <x:v>-0.5202147260521249</x:v>
      </x:c>
      <x:c r="K17" s="23" t="n">
        <x:f>'CAD inputs'!K21</x:f>
        <x:v>0.5514022841654478</x:v>
      </x:c>
      <x:c r="L17" s="23" t="n">
        <x:f>SUMPRODUCT('CAD inputs'!$B$5:$D$5,'CAD inputs'!E21:G21)</x:f>
        <x:v>-0.9871129692033525</x:v>
      </x:c>
      <x:c r="M17" s="23" t="n">
        <x:f>SUMPRODUCT('CAD inputs'!$B$6:$D$6,'CAD inputs'!E21:G21)</x:f>
        <x:v>-0.057505135417223165</x:v>
      </x:c>
      <x:c r="N17" s="23" t="n">
        <x:f>SUMPRODUCT('CAD inputs'!$B$7:$D$7,'CAD inputs'!E21:G21)</x:f>
        <x:v>0.14933568036872114</x:v>
      </x:c>
      <x:c r="O17" s="1"/>
      <x:c r="P17" s="1"/>
      <x:c r="Q17" s="1"/>
      <x:c r="R17" s="1"/>
    </x:row>
    <x:row r="18" ht="20" customHeight="1">
      <x:c r="A18" s="24" t="str">
        <x:f>'CAD inputs'!A22</x:f>
        <x:v>S17</x:v>
      </x:c>
      <x:c r="B18" s="25" t="n">
        <x:f>(SUMPRODUCT('CAD inputs'!$B$5:$D$5,'CAD inputs'!B22:D22)+'CAD inputs'!$E$5+'CAD inputs'!$H$4*SUMPRODUCT('CAD inputs'!$B$5:$D$5,'CAD inputs'!E22:G22))/'CAD inputs'!$H$5</x:f>
        <x:v>-0.06502967084361073</x:v>
      </x:c>
      <x:c r="C18" s="25" t="n">
        <x:f>(SUMPRODUCT('CAD inputs'!$B$6:$D$6,'CAD inputs'!B22:D22)+'CAD inputs'!$E$6+'CAD inputs'!$H$4*SUMPRODUCT('CAD inputs'!$B$6:$D$6,'CAD inputs'!E22:G22))/'CAD inputs'!$H$5</x:f>
        <x:v>-0.06513080244610023</x:v>
      </x:c>
      <x:c r="D18" s="25" t="n">
        <x:f>(SUMPRODUCT('CAD inputs'!$B$7:$D$7,'CAD inputs'!B22:D22)+'CAD inputs'!$E$7+'CAD inputs'!$H$4*SUMPRODUCT('CAD inputs'!$B$7:$D$7,'CAD inputs'!E22:G22))/'CAD inputs'!$H$5</x:f>
        <x:v>-0.09935227731379513</x:v>
      </x:c>
      <x:c r="E18" s="25" t="n">
        <x:f>(SUMPRODUCT('CAD inputs'!$B$5:$D$5,'CAD inputs'!B22:D22)+'CAD inputs'!$E$5)/'CAD inputs'!$H$5</x:f>
        <x:v>-0.06490209984223275</x:v>
      </x:c>
      <x:c r="F18" s="25" t="n">
        <x:f>(SUMPRODUCT('CAD inputs'!$B$6:$D$6,'CAD inputs'!B22:D22)+'CAD inputs'!$E$6)/'CAD inputs'!$H$5</x:f>
        <x:v>-0.06499987889952227</x:v>
      </x:c>
      <x:c r="G18" s="25" t="n">
        <x:f>(SUMPRODUCT('CAD inputs'!$B$7:$D$7,'CAD inputs'!B22:D22)+'CAD inputs'!$E$7)/'CAD inputs'!$H$5</x:f>
        <x:v>-0.09943342325983599</x:v>
      </x:c>
      <x:c r="H18" s="25" t="n">
        <x:f>'CAD inputs'!H22</x:f>
        <x:v>0.5049497397768141</x:v>
      </x:c>
      <x:c r="I18" s="25" t="n">
        <x:f>'CAD inputs'!I22</x:f>
        <x:v>-0.2053311841810282</x:v>
      </x:c>
      <x:c r="J18" s="25" t="n">
        <x:f>'CAD inputs'!J22</x:f>
        <x:v>-0.31580123557044104</x:v>
      </x:c>
      <x:c r="K18" s="25" t="n">
        <x:f>'CAD inputs'!K22</x:f>
        <x:v>0.7766173090488824</x:v>
      </x:c>
      <x:c r="L18" s="25" t="n">
        <x:f>SUMPRODUCT('CAD inputs'!$B$5:$D$5,'CAD inputs'!E22:G22)</x:f>
        <x:v>-0.6378550068899622</x:v>
      </x:c>
      <x:c r="M18" s="25" t="n">
        <x:f>SUMPRODUCT('CAD inputs'!$B$6:$D$6,'CAD inputs'!E22:G22)</x:f>
        <x:v>-0.6546177328897845</x:v>
      </x:c>
      <x:c r="N18" s="25" t="n">
        <x:f>SUMPRODUCT('CAD inputs'!$B$7:$D$7,'CAD inputs'!E22:G22)</x:f>
        <x:v>0.40572973020428893</x:v>
      </x:c>
      <x:c r="O18" s="1"/>
      <x:c r="P18" s="1"/>
      <x:c r="Q18" s="1"/>
      <x:c r="R18" s="1"/>
    </x:row>
    <x:row r="19" ht="20" customHeight="1">
      <x:c r="A19" s="22" t="str">
        <x:f>'CAD inputs'!A23</x:f>
        <x:v>S18</x:v>
      </x:c>
      <x:c r="B19" s="23" t="n">
        <x:f>(SUMPRODUCT('CAD inputs'!$B$5:$D$5,'CAD inputs'!B23:D23)+'CAD inputs'!$E$5+'CAD inputs'!$H$4*SUMPRODUCT('CAD inputs'!$B$5:$D$5,'CAD inputs'!E23:G23))/'CAD inputs'!$H$5</x:f>
        <x:v>-0.022709646919592114</x:v>
      </x:c>
      <x:c r="C19" s="23" t="n">
        <x:f>(SUMPRODUCT('CAD inputs'!$B$6:$D$6,'CAD inputs'!B23:D23)+'CAD inputs'!$E$6+'CAD inputs'!$H$4*SUMPRODUCT('CAD inputs'!$B$6:$D$6,'CAD inputs'!E23:G23))/'CAD inputs'!$H$5</x:f>
        <x:v>-0.08357960171704204</x:v>
      </x:c>
      <x:c r="D19" s="23" t="n">
        <x:f>(SUMPRODUCT('CAD inputs'!$B$7:$D$7,'CAD inputs'!B23:D23)+'CAD inputs'!$E$7+'CAD inputs'!$H$4*SUMPRODUCT('CAD inputs'!$B$7:$D$7,'CAD inputs'!E23:G23))/'CAD inputs'!$H$5</x:f>
        <x:v>-0.08989755322569465</x:v>
      </x:c>
      <x:c r="E19" s="23" t="n">
        <x:f>(SUMPRODUCT('CAD inputs'!$B$5:$D$5,'CAD inputs'!B23:D23)+'CAD inputs'!$E$5)/'CAD inputs'!$H$5</x:f>
        <x:v>-0.022665374868683884</x:v>
      </x:c>
      <x:c r="F19" s="23" t="n">
        <x:f>(SUMPRODUCT('CAD inputs'!$B$6:$D$6,'CAD inputs'!B23:D23)+'CAD inputs'!$E$6)/'CAD inputs'!$H$5</x:f>
        <x:v>-0.08344908043403665</x:v>
      </x:c>
      <x:c r="G19" s="23" t="n">
        <x:f>(SUMPRODUCT('CAD inputs'!$B$7:$D$7,'CAD inputs'!B23:D23)+'CAD inputs'!$E$7)/'CAD inputs'!$H$5</x:f>
        <x:v>-0.09004248141546808</x:v>
      </x:c>
      <x:c r="H19" s="23" t="n">
        <x:f>'CAD inputs'!H23</x:f>
        <x:v>0.36610294805445487</x:v>
      </x:c>
      <x:c r="I19" s="23" t="n">
        <x:f>'CAD inputs'!I23</x:f>
        <x:v>-0.060399975101450454</x:v>
      </x:c>
      <x:c r="J19" s="23" t="n">
        <x:f>'CAD inputs'!J23</x:f>
        <x:v>-0.15115984159476914</x:v>
      </x:c>
      <x:c r="K19" s="23" t="n">
        <x:f>'CAD inputs'!K23</x:f>
        <x:v>0.9162265968212371</x:v>
      </x:c>
      <x:c r="L19" s="23" t="n">
        <x:f>SUMPRODUCT('CAD inputs'!$B$5:$D$5,'CAD inputs'!E23:G23)</x:f>
        <x:v>-0.2213602545411576</x:v>
      </x:c>
      <x:c r="M19" s="23" t="n">
        <x:f>SUMPRODUCT('CAD inputs'!$B$6:$D$6,'CAD inputs'!E23:G23)</x:f>
        <x:v>-0.6526064150269841</x:v>
      </x:c>
      <x:c r="N19" s="23" t="n">
        <x:f>SUMPRODUCT('CAD inputs'!$B$7:$D$7,'CAD inputs'!E23:G23)</x:f>
        <x:v>0.7246409488671625</x:v>
      </x:c>
      <x:c r="O19" s="1"/>
      <x:c r="P19" s="1"/>
      <x:c r="Q19" s="1"/>
      <x:c r="R19" s="1"/>
    </x:row>
    <x:row r="20" ht="20" customHeight="1">
      <x:c r="A20" s="24" t="str">
        <x:f>'CAD inputs'!A24</x:f>
        <x:v>S19</x:v>
      </x:c>
      <x:c r="B20" s="25" t="n">
        <x:f>(SUMPRODUCT('CAD inputs'!$B$5:$D$5,'CAD inputs'!B24:D24)+'CAD inputs'!$E$5+'CAD inputs'!$H$4*SUMPRODUCT('CAD inputs'!$B$5:$D$5,'CAD inputs'!E24:G24))/'CAD inputs'!$H$5</x:f>
        <x:v>0.034664172493094295</x:v>
      </x:c>
      <x:c r="C20" s="25" t="n">
        <x:f>(SUMPRODUCT('CAD inputs'!$B$6:$D$6,'CAD inputs'!B24:D24)+'CAD inputs'!$E$6+'CAD inputs'!$H$4*SUMPRODUCT('CAD inputs'!$B$6:$D$6,'CAD inputs'!E24:G24))/'CAD inputs'!$H$5</x:f>
        <x:v>-0.07964715905245587</x:v>
      </x:c>
      <x:c r="D20" s="25" t="n">
        <x:f>(SUMPRODUCT('CAD inputs'!$B$7:$D$7,'CAD inputs'!B24:D24)+'CAD inputs'!$E$7+'CAD inputs'!$H$4*SUMPRODUCT('CAD inputs'!$B$7:$D$7,'CAD inputs'!E24:G24))/'CAD inputs'!$H$5</x:f>
        <x:v>-0.09267181896714637</x:v>
      </x:c>
      <x:c r="E20" s="25" t="n">
        <x:f>(SUMPRODUCT('CAD inputs'!$B$5:$D$5,'CAD inputs'!B24:D24)+'CAD inputs'!$E$5)/'CAD inputs'!$H$5</x:f>
        <x:v>0.034582666492108144</x:v>
      </x:c>
      <x:c r="F20" s="25" t="n">
        <x:f>(SUMPRODUCT('CAD inputs'!$B$6:$D$6,'CAD inputs'!B24:D24)+'CAD inputs'!$E$6)/'CAD inputs'!$H$5</x:f>
        <x:v>-0.07951842605020865</x:v>
      </x:c>
      <x:c r="G20" s="25" t="n">
        <x:f>(SUMPRODUCT('CAD inputs'!$B$7:$D$7,'CAD inputs'!B24:D24)+'CAD inputs'!$E$7)/'CAD inputs'!$H$5</x:f>
        <x:v>-0.09280137430642522</x:v>
      </x:c>
      <x:c r="H20" s="25" t="n">
        <x:f>'CAD inputs'!H24</x:f>
        <x:v>0.4030552957939726</x:v>
      </x:c>
      <x:c r="I20" s="25" t="n">
        <x:f>'CAD inputs'!I24</x:f>
        <x:v>0.11686778998189204</x:v>
      </x:c>
      <x:c r="J20" s="25" t="n">
        <x:f>'CAD inputs'!J24</x:f>
        <x:v>0.2527754933277509</x:v>
      </x:c>
      <x:c r="K20" s="25" t="n">
        <x:f>'CAD inputs'!K24</x:f>
        <x:v>0.8717757155198198</x:v>
      </x:c>
      <x:c r="L20" s="25" t="n">
        <x:f>SUMPRODUCT('CAD inputs'!$B$5:$D$5,'CAD inputs'!E24:G24)</x:f>
        <x:v>0.4075300049307358</x:v>
      </x:c>
      <x:c r="M20" s="25" t="n">
        <x:f>SUMPRODUCT('CAD inputs'!$B$6:$D$6,'CAD inputs'!E24:G24)</x:f>
        <x:v>-0.6436650112360925</x:v>
      </x:c>
      <x:c r="N20" s="25" t="n">
        <x:f>SUMPRODUCT('CAD inputs'!$B$7:$D$7,'CAD inputs'!E24:G24)</x:f>
        <x:v>0.647776696394363</x:v>
      </x:c>
      <x:c r="O20" s="1"/>
      <x:c r="P20" s="1"/>
      <x:c r="Q20" s="1"/>
      <x:c r="R20" s="1"/>
    </x:row>
    <x:row r="21" ht="20" customHeight="1">
      <x:c r="A21" s="22" t="str">
        <x:f>'CAD inputs'!A25</x:f>
        <x:v>S20</x:v>
      </x:c>
      <x:c r="B21" s="23" t="n">
        <x:f>(SUMPRODUCT('CAD inputs'!$B$5:$D$5,'CAD inputs'!B25:D25)+'CAD inputs'!$E$5+'CAD inputs'!$H$4*SUMPRODUCT('CAD inputs'!$B$5:$D$5,'CAD inputs'!E25:G25))/'CAD inputs'!$H$5</x:f>
        <x:v>0.06648773560419884</x:v>
      </x:c>
      <x:c r="C21" s="23" t="n">
        <x:f>(SUMPRODUCT('CAD inputs'!$B$6:$D$6,'CAD inputs'!B25:D25)+'CAD inputs'!$E$6+'CAD inputs'!$H$4*SUMPRODUCT('CAD inputs'!$B$6:$D$6,'CAD inputs'!E25:G25))/'CAD inputs'!$H$5</x:f>
        <x:v>-0.030621789049021964</x:v>
      </x:c>
      <x:c r="D21" s="23" t="n">
        <x:f>(SUMPRODUCT('CAD inputs'!$B$7:$D$7,'CAD inputs'!B25:D25)+'CAD inputs'!$E$7+'CAD inputs'!$H$4*SUMPRODUCT('CAD inputs'!$B$7:$D$7,'CAD inputs'!E25:G25))/'CAD inputs'!$H$5</x:f>
        <x:v>-0.09303762284570097</x:v>
      </x:c>
      <x:c r="E21" s="23" t="n">
        <x:f>(SUMPRODUCT('CAD inputs'!$B$5:$D$5,'CAD inputs'!B25:D25)+'CAD inputs'!$E$5)/'CAD inputs'!$H$5</x:f>
        <x:v>0.06629345649777559</x:v>
      </x:c>
      <x:c r="F21" s="23" t="n">
        <x:f>(SUMPRODUCT('CAD inputs'!$B$6:$D$6,'CAD inputs'!B25:D25)+'CAD inputs'!$E$6)/'CAD inputs'!$H$5</x:f>
        <x:v>-0.030579853784466288</x:v>
      </x:c>
      <x:c r="G21" s="23" t="n">
        <x:f>(SUMPRODUCT('CAD inputs'!$B$7:$D$7,'CAD inputs'!B25:D25)+'CAD inputs'!$E$7)/'CAD inputs'!$H$5</x:f>
        <x:v>-0.09305991774184401</x:v>
      </x:c>
      <x:c r="H21" s="23" t="n">
        <x:f>'CAD inputs'!H25</x:f>
        <x:v>0.5186513123754312</x:v>
      </x:c>
      <x:c r="I21" s="23" t="n">
        <x:f>'CAD inputs'!I25</x:f>
        <x:v>0.418644928087814</x:v>
      </x:c>
      <x:c r="J21" s="23" t="n">
        <x:f>'CAD inputs'!J25</x:f>
        <x:v>0.46823150204095976</x:v>
      </x:c>
      <x:c r="K21" s="23" t="n">
        <x:f>'CAD inputs'!K25</x:f>
        <x:v>0.5800831844262154</x:v>
      </x:c>
      <x:c r="L21" s="23" t="n">
        <x:f>SUMPRODUCT('CAD inputs'!$B$5:$D$5,'CAD inputs'!E25:G25)</x:f>
        <x:v>0.9713955321162522</x:v>
      </x:c>
      <x:c r="M21" s="23" t="n">
        <x:f>SUMPRODUCT('CAD inputs'!$B$6:$D$6,'CAD inputs'!E25:G25)</x:f>
        <x:v>-0.20967632277837808</x:v>
      </x:c>
      <x:c r="N21" s="23" t="n">
        <x:f>SUMPRODUCT('CAD inputs'!$B$7:$D$7,'CAD inputs'!E25:G25)</x:f>
        <x:v>0.11147448071518362</x:v>
      </x:c>
      <x:c r="O21" s="1"/>
      <x:c r="P21" s="1"/>
      <x:c r="Q21" s="1"/>
      <x:c r="R21" s="1"/>
    </x:row>
    <x:row r="22" ht="20" customHeight="1">
      <x:c r="A22" s="24" t="str">
        <x:f>'CAD inputs'!A26</x:f>
        <x:v>S21</x:v>
      </x:c>
      <x:c r="B22" s="25" t="n">
        <x:f>(SUMPRODUCT('CAD inputs'!$B$5:$D$5,'CAD inputs'!B26:D26)+'CAD inputs'!$E$5+'CAD inputs'!$H$4*SUMPRODUCT('CAD inputs'!$B$5:$D$5,'CAD inputs'!E26:G26))/'CAD inputs'!$H$5</x:f>
        <x:v>0.07913159262659414</x:v>
      </x:c>
      <x:c r="C22" s="25" t="n">
        <x:f>(SUMPRODUCT('CAD inputs'!$B$6:$D$6,'CAD inputs'!B26:D26)+'CAD inputs'!$E$6+'CAD inputs'!$H$4*SUMPRODUCT('CAD inputs'!$B$6:$D$6,'CAD inputs'!E26:G26))/'CAD inputs'!$H$5</x:f>
        <x:v>0.03488071666098964</x:v>
      </x:c>
      <x:c r="D22" s="25" t="n">
        <x:f>(SUMPRODUCT('CAD inputs'!$B$7:$D$7,'CAD inputs'!B26:D26)+'CAD inputs'!$E$7+'CAD inputs'!$H$4*SUMPRODUCT('CAD inputs'!$B$7:$D$7,'CAD inputs'!E26:G26))/'CAD inputs'!$H$5</x:f>
        <x:v>-0.15641526228526811</x:v>
      </x:c>
      <x:c r="E22" s="25" t="n">
        <x:f>(SUMPRODUCT('CAD inputs'!$B$5:$D$5,'CAD inputs'!B26:D26)+'CAD inputs'!$E$5)/'CAD inputs'!$H$5</x:f>
        <x:v>0.07893424243602452</x:v>
      </x:c>
      <x:c r="F22" s="25" t="n">
        <x:f>(SUMPRODUCT('CAD inputs'!$B$6:$D$6,'CAD inputs'!B26:D26)+'CAD inputs'!$E$6)/'CAD inputs'!$H$5</x:f>
        <x:v>0.03485543088548914</x:v>
      </x:c>
      <x:c r="G22" s="25" t="n">
        <x:f>(SUMPRODUCT('CAD inputs'!$B$7:$D$7,'CAD inputs'!B26:D26)+'CAD inputs'!$E$7)/'CAD inputs'!$H$5</x:f>
        <x:v>-0.15639492680299022</x:v>
      </x:c>
      <x:c r="H22" s="25" t="n">
        <x:f>'CAD inputs'!H26</x:f>
        <x:v>0.4903233532767477</x:v>
      </x:c>
      <x:c r="I22" s="25" t="n">
        <x:f>'CAD inputs'!I26</x:f>
        <x:v>0.5571550187570244</x:v>
      </x:c>
      <x:c r="J22" s="25" t="n">
        <x:f>'CAD inputs'!J26</x:f>
        <x:v>0.50311235751561</x:v>
      </x:c>
      <x:c r="K22" s="25" t="n">
        <x:f>'CAD inputs'!K26</x:f>
        <x:v>0.44276319858406304</x:v>
      </x:c>
      <x:c r="L22" s="25" t="n">
        <x:f>SUMPRODUCT('CAD inputs'!$B$5:$D$5,'CAD inputs'!E26:G26)</x:f>
        <x:v>0.9867509528480953</x:v>
      </x:c>
      <x:c r="M22" s="25" t="n">
        <x:f>SUMPRODUCT('CAD inputs'!$B$6:$D$6,'CAD inputs'!E26:G26)</x:f>
        <x:v>0.12642887750244844</x:v>
      </x:c>
      <x:c r="N22" s="25" t="n">
        <x:f>SUMPRODUCT('CAD inputs'!$B$7:$D$7,'CAD inputs'!E26:G26)</x:f>
        <x:v>-0.10167741138938924</x:v>
      </x:c>
      <x:c r="O22" s="1"/>
      <x:c r="P22" s="1"/>
      <x:c r="Q22" s="1"/>
      <x:c r="R22" s="1"/>
    </x:row>
    <x:row r="23" ht="20" customHeight="1">
      <x:c r="A23" s="22" t="str">
        <x:f>'CAD inputs'!A27</x:f>
        <x:v>S22</x:v>
      </x:c>
      <x:c r="B23" s="23" t="n">
        <x:f>(SUMPRODUCT('CAD inputs'!$B$5:$D$5,'CAD inputs'!B27:D27)+'CAD inputs'!$E$5+'CAD inputs'!$H$4*SUMPRODUCT('CAD inputs'!$B$5:$D$5,'CAD inputs'!E27:G27))/'CAD inputs'!$H$5</x:f>
        <x:v>0.07911290357534101</x:v>
      </x:c>
      <x:c r="C23" s="23" t="n">
        <x:f>(SUMPRODUCT('CAD inputs'!$B$6:$D$6,'CAD inputs'!B27:D27)+'CAD inputs'!$E$6+'CAD inputs'!$H$4*SUMPRODUCT('CAD inputs'!$B$6:$D$6,'CAD inputs'!E27:G27))/'CAD inputs'!$H$5</x:f>
        <x:v>-0.034871230233424186</x:v>
      </x:c>
      <x:c r="D23" s="23" t="n">
        <x:f>(SUMPRODUCT('CAD inputs'!$B$7:$D$7,'CAD inputs'!B27:D27)+'CAD inputs'!$E$7+'CAD inputs'!$H$4*SUMPRODUCT('CAD inputs'!$B$7:$D$7,'CAD inputs'!E27:G27))/'CAD inputs'!$H$5</x:f>
        <x:v>-0.15640289077698943</x:v>
      </x:c>
      <x:c r="E23" s="23" t="n">
        <x:f>(SUMPRODUCT('CAD inputs'!$B$5:$D$5,'CAD inputs'!B27:D27)+'CAD inputs'!$E$5)/'CAD inputs'!$H$5</x:f>
        <x:v>0.0789154980373609</x:v>
      </x:c>
      <x:c r="F23" s="23" t="n">
        <x:f>(SUMPRODUCT('CAD inputs'!$B$6:$D$6,'CAD inputs'!B27:D27)+'CAD inputs'!$E$6)/'CAD inputs'!$H$5</x:f>
        <x:v>-0.034846084280384645</x:v>
      </x:c>
      <x:c r="G23" s="23" t="n">
        <x:f>(SUMPRODUCT('CAD inputs'!$B$7:$D$7,'CAD inputs'!B27:D27)+'CAD inputs'!$E$7)/'CAD inputs'!$H$5</x:f>
        <x:v>-0.1563829224365346</x:v>
      </x:c>
      <x:c r="H23" s="23" t="n">
        <x:f>'CAD inputs'!H27</x:f>
        <x:v>0.5565112227593061</x:v>
      </x:c>
      <x:c r="I23" s="23" t="n">
        <x:f>'CAD inputs'!I27</x:f>
        <x:v>0.4901184653530745</x:v>
      </x:c>
      <x:c r="J23" s="23" t="n">
        <x:f>'CAD inputs'!J27</x:f>
        <x:v>0.4433997238216499</x:v>
      </x:c>
      <x:c r="K23" s="23" t="n">
        <x:f>'CAD inputs'!K27</x:f>
        <x:v>0.5034638356205673</x:v>
      </x:c>
      <x:c r="L23" s="23" t="n">
        <x:f>SUMPRODUCT('CAD inputs'!$B$5:$D$5,'CAD inputs'!E27:G27)</x:f>
        <x:v>0.9870276899005002</x:v>
      </x:c>
      <x:c r="M23" s="23" t="n">
        <x:f>SUMPRODUCT('CAD inputs'!$B$6:$D$6,'CAD inputs'!E27:G27)</x:f>
        <x:v>-0.12572976519769608</x:v>
      </x:c>
      <x:c r="N23" s="23" t="n">
        <x:f>SUMPRODUCT('CAD inputs'!$B$7:$D$7,'CAD inputs'!E27:G27)</x:f>
        <x:v>-0.09984170227422207</x:v>
      </x:c>
      <x:c r="O23" s="1"/>
      <x:c r="P23" s="1"/>
      <x:c r="Q23" s="1"/>
      <x:c r="R23" s="1"/>
    </x:row>
    <x:row r="24" ht="20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 s="1"/>
      <x:c r="P24" s="1"/>
      <x:c r="Q24" s="1"/>
      <x:c r="R24" s="1"/>
    </x:row>
    <x:row r="25" ht="20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 s="1"/>
      <x:c r="P25" s="1"/>
      <x:c r="Q25" s="1"/>
      <x:c r="R25" s="1"/>
    </x:row>
    <x:row r="26" ht="2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 s="1"/>
      <x:c r="P26" s="1"/>
      <x:c r="Q26" s="1"/>
      <x:c r="R26" s="1"/>
    </x:row>
    <x:row r="27" ht="20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 s="1"/>
      <x:c r="P27" s="1"/>
      <x:c r="Q27" s="1"/>
      <x:c r="R27" s="1"/>
    </x:row>
    <x:row r="28" ht="20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 s="1"/>
      <x:c r="P28" s="1"/>
      <x:c r="Q28" s="1"/>
      <x:c r="R28" s="1"/>
    </x:row>
    <x:row r="29" ht="20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 s="1"/>
      <x:c r="P29" s="1"/>
      <x:c r="Q29" s="1"/>
      <x:c r="R29" s="1"/>
    </x:row>
    <x:row r="30" ht="20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 s="1"/>
      <x:c r="P30" s="1"/>
      <x:c r="Q30" s="1"/>
      <x:c r="R30" s="1"/>
    </x:row>
    <x:row r="31" ht="2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0" customHeight="1">
      <x:c r="A33" s="1" t="str">
        <x:v>T_parent_child maps marker-local points into pelvis_link: p_parent = R(q) p_child + translation.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0" customHeight="1">
      <x:c r="A34" s="1" t="str">
        <x:v>Sticker origin = flush plug centre + 0.20 mm outward. Ball-mount seat origin = flush plug centre.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0" customHeight="1">
      <x:c r="A35" s="1" t="str">
        <x:v>Ball optical origin = seat + measured installed offset × outward normal; offset is currently unknown.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0" customHeight="1">
      <x:c r="A36" s="1" t="str">
        <x:v>2026-10-11: rear S06/S07/S08/S15/S17 restored; front seven and pelvis datum unchanged.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0" customHeight="1">
      <x:c r="A37" s="1" t="str">
        <x:v>Changing CAD registration requires rerunning quaternion derivation and all geometry checks.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0" customHeight="1">
      <x:c r="A2" s="2" t="str">
        <x:v>CAD inputs | registration and station coordinates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6" t="str">
        <x:v>Robot axis</x:v>
      </x:c>
      <x:c r="B4" s="6" t="str">
        <x:v>R: CAD x</x:v>
      </x:c>
      <x:c r="C4" s="6" t="str">
        <x:v>R: CAD y</x:v>
      </x:c>
      <x:c r="D4" s="6" t="str">
        <x:v>R: CAD z</x:v>
      </x:c>
      <x:c r="E4" s="6" t="str">
        <x:v>t (mm)</x:v>
      </x:c>
      <x:c r="F4" s="1"/>
      <x:c r="G4" s="1" t="str">
        <x:v>Film + adhesive (mm)</x:v>
      </x:c>
      <x:c r="H4" s="8" t="n">
        <x:v>0.2</x:v>
      </x:c>
      <x:c r="I4" s="1"/>
      <x:c r="J4" s="1" t="str">
        <x:v>R and t: 10 original socket datums + nominal pelvis reference centres</x:v>
      </x:c>
      <x:c r="K4" s="1"/>
      <x:c r="L4" s="1"/>
      <x:c r="M4" s="1"/>
      <x:c r="N4" s="1"/>
      <x:c r="O4" s="1"/>
      <x:c r="P4" s="1"/>
      <x:c r="Q4" s="1"/>
    </x:row>
    <x:row r="5" ht="20" customHeight="1">
      <x:c r="A5" s="1" t="str">
        <x:v>x</x:v>
      </x:c>
      <x:c r="B5" s="1" t="n">
        <x:v>0</x:v>
      </x:c>
      <x:c r="C5" s="1" t="n">
        <x:v>0</x:v>
      </x:c>
      <x:c r="D5" s="1" t="n">
        <x:v>1</x:v>
      </x:c>
      <x:c r="E5" s="1" t="n">
        <x:v>0</x:v>
      </x:c>
      <x:c r="F5" s="1"/>
      <x:c r="G5" s="1" t="str">
        <x:v>mm per metre</x:v>
      </x:c>
      <x:c r="H5" s="1" t="n">
        <x:v>1000</x:v>
      </x:c>
      <x:c r="I5" s="1"/>
      <x:c r="J5" s="1" t="str">
        <x:v>Seven-parameter fit includes shared original ball stand-off; not imposed.</x:v>
      </x:c>
      <x:c r="K5" s="1"/>
      <x:c r="L5" s="1"/>
      <x:c r="M5" s="1"/>
      <x:c r="N5" s="1"/>
      <x:c r="O5" s="1"/>
      <x:c r="P5" s="1"/>
      <x:c r="Q5" s="1"/>
    </x:row>
    <x:row r="6" ht="20" customHeight="1">
      <x:c r="A6" s="1" t="str">
        <x:v>y</x:v>
      </x:c>
      <x:c r="B6" s="1" t="n">
        <x:v>1</x:v>
      </x:c>
      <x:c r="C6" s="1" t="n">
        <x:v>0</x:v>
      </x:c>
      <x:c r="D6" s="1" t="n">
        <x:v>0</x:v>
      </x:c>
      <x:c r="E6" s="1" t="n">
        <x:v>0</x:v>
      </x:c>
      <x:c r="F6" s="1"/>
      <x:c r="G6" s="1" t="str">
        <x:v>Thickness status</x:v>
      </x:c>
      <x:c r="H6" s="1" t="str">
        <x:v>Approved nominal</x:v>
      </x:c>
      <x:c r="I6" s="1"/>
      <x:c r="J6" s="1" t="str">
        <x:v>Fitted old stand-off: 6.0 mm. Do not apply it to the new ball sockets.</x:v>
      </x:c>
      <x:c r="K6" s="1"/>
      <x:c r="L6" s="1"/>
      <x:c r="M6" s="1"/>
      <x:c r="N6" s="1"/>
      <x:c r="O6" s="1"/>
      <x:c r="P6" s="1"/>
      <x:c r="Q6" s="1"/>
    </x:row>
    <x:row r="7" ht="20" customHeight="1">
      <x:c r="A7" s="1" t="str">
        <x:v>z</x:v>
      </x:c>
      <x:c r="B7" s="1" t="n">
        <x:v>0</x:v>
      </x:c>
      <x:c r="C7" s="1" t="n">
        <x:v>1</x:v>
      </x:c>
      <x:c r="D7" s="1" t="n">
        <x:v>0</x:v>
      </x:c>
      <x:c r="E7" s="1" t="n">
        <x:v>-145.800095037096</x:v>
      </x:c>
      <x:c r="F7" s="1"/>
      <x:c r="G7" s="1"/>
      <x:c r="H7" s="1"/>
      <x:c r="I7" s="1"/>
      <x:c r="J7" s="1" t="str">
        <x:v>See CAD_registration.md for hashes, datums and verification limits.</x:v>
      </x:c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8" customHeight="1">
      <x:c r="A10" s="6" t="str">
        <x:v>ID</x:v>
      </x:c>
      <x:c r="B10" s="6" t="str">
        <x:v>Seat CAD x</x:v>
      </x:c>
      <x:c r="C10" s="6" t="str">
        <x:v>Seat CAD y</x:v>
      </x:c>
      <x:c r="D10" s="6" t="str">
        <x:v>Seat CAD z</x:v>
      </x:c>
      <x:c r="E10" s="6" t="str">
        <x:v>Normal x</x:v>
      </x:c>
      <x:c r="F10" s="6" t="str">
        <x:v>Normal y</x:v>
      </x:c>
      <x:c r="G10" s="6" t="str">
        <x:v>Normal z</x:v>
      </x:c>
      <x:c r="H10" s="6" t="str">
        <x:v>qx root</x:v>
      </x:c>
      <x:c r="I10" s="6" t="str">
        <x:v>qy root</x:v>
      </x:c>
      <x:c r="J10" s="6" t="str">
        <x:v>qz root</x:v>
      </x:c>
      <x:c r="K10" s="6" t="str">
        <x:v>qw root</x:v>
      </x:c>
      <x:c r="L10" s="6" t="str">
        <x:v>u CAD x</x:v>
      </x:c>
      <x:c r="M10" s="6" t="str">
        <x:v>u CAD y</x:v>
      </x:c>
      <x:c r="N10" s="6" t="str">
        <x:v>u CAD z</x:v>
      </x:c>
      <x:c r="O10" s="6" t="str">
        <x:v>v CAD x</x:v>
      </x:c>
      <x:c r="P10" s="6" t="str">
        <x:v>v CAD y</x:v>
      </x:c>
      <x:c r="Q10" s="6" t="str">
        <x:v>v CAD z</x:v>
      </x:c>
    </x:row>
    <x:row r="11" ht="20" customHeight="1">
      <x:c r="A11" s="1" t="str">
        <x:v>S04</x:v>
      </x:c>
      <x:c r="B11" s="7" t="n">
        <x:v>71.85597273019151</x:v>
      </x:c>
      <x:c r="C11" s="7" t="n">
        <x:v>84.16440445006018</x:v>
      </x:c>
      <x:c r="D11" s="7" t="n">
        <x:v>-23.647555582752062</x:v>
      </x:c>
      <x:c r="E11" s="7" t="n">
        <x:v>0.9855882180779572</x:v>
      </x:c>
      <x:c r="F11" s="7" t="n">
        <x:v>0.02586635907279422</x:v>
      </x:c>
      <x:c r="G11" s="7" t="n">
        <x:v>-0.1671729519217581</x:v>
      </x:c>
      <x:c r="H11" s="7" t="n">
        <x:v>0.05856119828838858</x:v>
      </x:c>
      <x:c r="I11" s="7" t="n">
        <x:v>-0.6954404406695306</x:v>
      </x:c>
      <x:c r="J11" s="7" t="n">
        <x:v>-0.7136677390825558</x:v>
      </x:c>
      <x:c r="K11" s="7" t="n">
        <x:v>0.060096070829880645</x:v>
      </x:c>
      <x:c r="L11" s="7" t="n">
        <x:v>-0.16722890508143756</x:v>
      </x:c>
      <x:c r="M11" s="7" t="n">
        <x:v>0</x:v>
      </x:c>
      <x:c r="N11" s="7" t="n">
        <x:v>-0.9859180966516761</x:v>
      </x:c>
      <x:c r="O11" s="7" t="n">
        <x:v>-0.02550211150435809</x:v>
      </x:c>
      <x:c r="P11" s="7" t="n">
        <x:v>0.999665409758844</x:v>
      </x:c>
      <x:c r="Q11" s="7" t="n">
        <x:v>0.004325602906186686</x:v>
      </x:c>
    </x:row>
    <x:row r="12" ht="20" customHeight="1">
      <x:c r="A12" s="1" t="str">
        <x:v>S05</x:v>
      </x:c>
      <x:c r="B12" s="7" t="n">
        <x:v>47.146357879459444</x:v>
      </x:c>
      <x:c r="C12" s="7" t="n">
        <x:v>91.2112462764705</x:v>
      </x:c>
      <x:c r="D12" s="7" t="n">
        <x:v>-67.0064013049042</x:v>
      </x:c>
      <x:c r="E12" s="7" t="n">
        <x:v>0.5989478379707436</x:v>
      </x:c>
      <x:c r="F12" s="7" t="n">
        <x:v>0.035949223817822396</x:v>
      </x:c>
      <x:c r="G12" s="7" t="n">
        <x:v>-0.7999807127031673</x:v>
      </x:c>
      <x:c r="H12" s="7" t="n">
        <x:v>0.3107495676387187</x:v>
      </x:c>
      <x:c r="I12" s="7" t="n">
        <x:v>-0.6208543261534369</x:v>
      </x:c>
      <x:c r="J12" s="7" t="n">
        <x:v>-0.6435895621528547</x:v>
      </x:c>
      <x:c r="K12" s="7" t="n">
        <x:v>0.32212899186010574</x:v>
      </x:c>
      <x:c r="L12" s="7" t="n">
        <x:v>-0.8004981404935889</x:v>
      </x:c>
      <x:c r="M12" s="7" t="n">
        <x:v>0</x:v>
      </x:c>
      <x:c r="N12" s="7" t="n">
        <x:v>-0.5993352376310827</x:v>
      </x:c>
      <x:c r="O12" s="7" t="n">
        <x:v>-0.021545636599507572</x:v>
      </x:c>
      <x:c r="P12" s="7" t="n">
        <x:v>0.9993536177484406</x:v>
      </x:c>
      <x:c r="Q12" s="7" t="n">
        <x:v>0.02877728681835468</x:v>
      </x:c>
    </x:row>
    <x:row r="13" ht="20" customHeight="1">
      <x:c r="A13" s="1" t="str">
        <x:v>S06</x:v>
      </x:c>
      <x:c r="B13" s="7" t="n">
        <x:v>-1.3188903482553982</x:v>
      </x:c>
      <x:c r="C13" s="7" t="n">
        <x:v>88.18990584635704</x:v>
      </x:c>
      <x:c r="D13" s="7" t="n">
        <x:v>-78.80150417492845</x:v>
      </x:c>
      <x:c r="E13" s="7" t="n">
        <x:v>-0.008029680024893465</x:v>
      </x:c>
      <x:c r="F13" s="7" t="n">
        <x:v>0.03159595411146976</x:v>
      </x:c>
      <x:c r="G13" s="7" t="n">
        <x:v>-0.9994684686984797</x:v>
      </x:c>
      <x:c r="H13" s="7" t="n">
        <x:v>0.4940100972689909</x:v>
      </x:c>
      <x:c r="I13" s="7" t="n">
        <x:v>-0.49005718721445896</x:v>
      </x:c>
      <x:c r="J13" s="7" t="n">
        <x:v>-0.5057935425934543</x:v>
      </x:c>
      <x:c r="K13" s="7" t="n">
        <x:v>0.5098733855836155</x:v>
      </x:c>
      <x:c r="L13" s="7" t="n">
        <x:v>-0.9999677293832764</x:v>
      </x:c>
      <x:c r="M13" s="7" t="n">
        <x:v>0</x:v>
      </x:c>
      <x:c r="N13" s="7" t="n">
        <x:v>0.008033691060432332</x:v>
      </x:c>
      <x:c r="O13" s="7" t="n">
        <x:v>0.00025383213409114477</x:v>
      </x:c>
      <x:c r="P13" s="7" t="n">
        <x:v>0.9995007232032331</x:v>
      </x:c>
      <x:c r="Q13" s="7" t="n">
        <x:v>0.03159493449054461</x:v>
      </x:c>
    </x:row>
    <x:row r="14" ht="20" customHeight="1">
      <x:c r="A14" s="1" t="str">
        <x:v>S07</x:v>
      </x:c>
      <x:c r="B14" s="7" t="n">
        <x:v>-52.06963586971489</x:v>
      </x:c>
      <x:c r="C14" s="7" t="n">
        <x:v>85.29266051713226</x:v>
      </x:c>
      <x:c r="D14" s="7" t="n">
        <x:v>-63.65913458475188</x:v>
      </x:c>
      <x:c r="E14" s="7" t="n">
        <x:v>-0.6776661487258189</x:v>
      </x:c>
      <x:c r="F14" s="7" t="n">
        <x:v>0.04698025929645233</x:v>
      </x:c>
      <x:c r="G14" s="7" t="n">
        <x:v>-0.7338674581336567</x:v>
      </x:c>
      <x:c r="H14" s="7" t="n">
        <x:v>0.6323691286174535</x:v>
      </x:c>
      <x:c r="I14" s="7" t="n">
        <x:v>-0.27680165375838434</x:v>
      </x:c>
      <x:c r="J14" s="7" t="n">
        <x:v>-0.29012621937210503</x:v>
      </x:c>
      <x:c r="K14" s="7" t="n">
        <x:v>0.662809856958295</x:v>
      </x:c>
      <x:c r="L14" s="7" t="n">
        <x:v>-0.7346786770978707</x:v>
      </x:c>
      <x:c r="M14" s="7" t="n">
        <x:v>0</x:v>
      </x:c>
      <x:c r="N14" s="7" t="n">
        <x:v>0.6784152426189455</x:v>
      </x:c>
      <x:c r="O14" s="7" t="n">
        <x:v>0.03187212400890368</x:v>
      </x:c>
      <x:c r="P14" s="7" t="n">
        <x:v>0.9988958180092848</x:v>
      </x:c>
      <x:c r="Q14" s="7" t="n">
        <x:v>0.03451539474963254</x:v>
      </x:c>
    </x:row>
    <x:row r="15" ht="20" customHeight="1">
      <x:c r="A15" s="1" t="str">
        <x:v>S08</x:v>
      </x:c>
      <x:c r="B15" s="7" t="n">
        <x:v>-71.83792806666918</x:v>
      </x:c>
      <x:c r="C15" s="7" t="n">
        <x:v>91.12666416607563</x:v>
      </x:c>
      <x:c r="D15" s="7" t="n">
        <x:v>-19.843924590420492</x:v>
      </x:c>
      <x:c r="E15" s="7" t="n">
        <x:v>-0.9879708586194498</x:v>
      </x:c>
      <x:c r="F15" s="7" t="n">
        <x:v>0.021836381490736106</x:v>
      </x:c>
      <x:c r="G15" s="7" t="n">
        <x:v>-0.15309067562114403</x:v>
      </x:c>
      <x:c r="H15" s="7" t="n">
        <x:v>0.697278863401055</x:v>
      </x:c>
      <x:c r="I15" s="7" t="n">
        <x:v>-0.05370284823698751</x:v>
      </x:c>
      <x:c r="J15" s="7" t="n">
        <x:v>-0.05488861187991103</x:v>
      </x:c>
      <x:c r="K15" s="7" t="n">
        <x:v>0.7126748424290452</x:v>
      </x:c>
      <x:c r="L15" s="7" t="n">
        <x:v>-0.15312718760550123</x:v>
      </x:c>
      <x:c r="M15" s="7" t="n">
        <x:v>0</x:v>
      </x:c>
      <x:c r="N15" s="7" t="n">
        <x:v>0.9882064887542632</x:v>
      </x:c>
      <x:c r="O15" s="7" t="n">
        <x:v>0.02157885388005891</x:v>
      </x:c>
      <x:c r="P15" s="7" t="n">
        <x:v>0.9997615577943529</x:v>
      </x:c>
      <x:c r="Q15" s="7" t="n">
        <x:v>0.0033437436851572423</x:v>
      </x:c>
    </x:row>
    <x:row r="16" ht="20" customHeight="1">
      <x:c r="A16" s="1" t="str">
        <x:v>S11</x:v>
      </x:c>
      <x:c r="B16" s="7" t="n">
        <x:v>13.73596544527046</x:v>
      </x:c>
      <x:c r="C16" s="7" t="n">
        <x:v>52.41555591834851</x:v>
      </x:c>
      <x:c r="D16" s="7" t="n">
        <x:v>68.48216909613461</x:v>
      </x:c>
      <x:c r="E16" s="7" t="n">
        <x:v>0.0830327297376088</x:v>
      </x:c>
      <x:c r="F16" s="7" t="n">
        <x:v>0.06500962925823672</x:v>
      </x:c>
      <x:c r="G16" s="7" t="n">
        <x:v>0.9944241116827509</x:v>
      </x:c>
      <x:c r="H16" s="7" t="n">
        <x:v>0.46292304814952057</x:v>
      </x:c>
      <x:c r="I16" s="7" t="n">
        <x:v>0.5031872781210176</x:v>
      </x:c>
      <x:c r="J16" s="7" t="n">
        <x:v>0.5370353213443584</x:v>
      </x:c>
      <x:c r="K16" s="7" t="n">
        <x:v>0.4940626258458335</x:v>
      </x:c>
      <x:c r="L16" s="7" t="n">
        <x:v>0.9965321392263935</x:v>
      </x:c>
      <x:c r="M16" s="7" t="n">
        <x:v>0</x:v>
      </x:c>
      <x:c r="N16" s="7" t="n">
        <x:v>-0.08320874646855322</x:v>
      </x:c>
      <x:c r="O16" s="7" t="n">
        <x:v>-0.005409369758963258</x:v>
      </x:c>
      <x:c r="P16" s="7" t="n">
        <x:v>0.9978846366708461</x:v>
      </x:c>
      <x:c r="Q16" s="7" t="n">
        <x:v>-0.06478418491502537</x:v>
      </x:c>
    </x:row>
    <x:row r="17" ht="20" customHeight="1">
      <x:c r="A17" s="1" t="str">
        <x:v>S12</x:v>
      </x:c>
      <x:c r="B17" s="7" t="n">
        <x:v>68.88540144163073</x:v>
      </x:c>
      <x:c r="C17" s="7" t="n">
        <x:v>42.993563739012494</x:v>
      </x:c>
      <x:c r="D17" s="7" t="n">
        <x:v>55.57880901241151</x:v>
      </x:c>
      <x:c r="E17" s="7" t="n">
        <x:v>0.511077569897046</x:v>
      </x:c>
      <x:c r="F17" s="7" t="n">
        <x:v>0.5045427927083367</x:v>
      </x:c>
      <x:c r="G17" s="7" t="n">
        <x:v>0.6958708844851907</x:v>
      </x:c>
      <x:c r="H17" s="7" t="n">
        <x:v>0.22481865561473563</x:v>
      </x:c>
      <x:c r="I17" s="7" t="n">
        <x:v>0.44405537462507355</x:v>
      </x:c>
      <x:c r="J17" s="7" t="n">
        <x:v>0.7738135460582974</x:v>
      </x:c>
      <x:c r="K17" s="7" t="n">
        <x:v>0.39177033104977693</x:v>
      </x:c>
      <x:c r="L17" s="7" t="n">
        <x:v>0.8059782429035355</x:v>
      </x:c>
      <x:c r="M17" s="7" t="n">
        <x:v>0</x:v>
      </x:c>
      <x:c r="N17" s="7" t="n">
        <x:v>-0.5919451595934623</x:v>
      </x:c>
      <x:c r="O17" s="7" t="n">
        <x:v>-0.29866166395146765</x:v>
      </x:c>
      <x:c r="P17" s="7" t="n">
        <x:v>0.8633866864424492</x:v>
      </x:c>
      <x:c r="Q17" s="7" t="n">
        <x:v>-0.4066505135367081</x:v>
      </x:c>
    </x:row>
    <x:row r="18" ht="20" customHeight="1">
      <x:c r="A18" s="1" t="str">
        <x:v>S13</x:v>
      </x:c>
      <x:c r="B18" s="7" t="n">
        <x:v>82.53720516152626</x:v>
      </x:c>
      <x:c r="C18" s="7" t="n">
        <x:v>55.602098526032755</x:v>
      </x:c>
      <x:c r="D18" s="7" t="n">
        <x:v>24.14619289950585</x:v>
      </x:c>
      <x:c r="E18" s="7" t="n">
        <x:v>0.6422881904647266</x:v>
      </x:c>
      <x:c r="F18" s="7" t="n">
        <x:v>0.7212867064565895</x:v>
      </x:c>
      <x:c r="G18" s="7" t="n">
        <x:v>0.25925155250943493</x:v>
      </x:c>
      <x:c r="H18" s="7" t="n">
        <x:v>0.0711687085337274</x:v>
      </x:c>
      <x:c r="I18" s="7" t="n">
        <x:v>0.366458267333876</x:v>
      </x:c>
      <x:c r="J18" s="7" t="n">
        <x:v>0.910693610474095</x:v>
      </x:c>
      <x:c r="K18" s="7" t="n">
        <x:v>0.17686294430985905</x:v>
      </x:c>
      <x:c r="L18" s="7" t="n">
        <x:v>0.3742966298605674</x:v>
      </x:c>
      <x:c r="M18" s="7" t="n">
        <x:v>0</x:v>
      </x:c>
      <x:c r="N18" s="7" t="n">
        <x:v>-0.927309027711378</x:v>
      </x:c>
      <x:c r="O18" s="7" t="n">
        <x:v>-0.6688556744654023</x:v>
      </x:c>
      <x:c r="P18" s="7" t="n">
        <x:v>0.6926366198007475</x:v>
      </x:c>
      <x:c r="Q18" s="7" t="n">
        <x:v>-0.2699751833899299</x:v>
      </x:c>
    </x:row>
    <x:row r="19" ht="20" customHeight="1">
      <x:c r="A19" s="1" t="str">
        <x:v>S14</x:v>
      </x:c>
      <x:c r="B19" s="7" t="n">
        <x:v>82.32300741547999</x:v>
      </x:c>
      <x:c r="C19" s="7" t="n">
        <x:v>51.140700319041194</x:v>
      </x:c>
      <x:c r="D19" s="7" t="n">
        <x:v>-35.453125477069584</x:v>
      </x:c>
      <x:c r="E19" s="7" t="n">
        <x:v>0.6661383805322489</x:v>
      </x:c>
      <x:c r="F19" s="7" t="n">
        <x:v>0.6516015066197982</x:v>
      </x:c>
      <x:c r="G19" s="7" t="n">
        <x:v>-0.36287068571693926</x:v>
      </x:c>
      <x:c r="H19" s="7" t="n">
        <x:v>0.10301558961431492</x:v>
      </x:c>
      <x:c r="I19" s="7" t="n">
        <x:v>-0.4044589410391566</x:v>
      </x:c>
      <x:c r="J19" s="7" t="n">
        <x:v>-0.8806208047624356</x:v>
      </x:c>
      <x:c r="K19" s="7" t="n">
        <x:v>0.22429389543511719</x:v>
      </x:c>
      <x:c r="L19" s="7" t="n">
        <x:v>-0.4783668939746093</x:v>
      </x:c>
      <x:c r="M19" s="7" t="n">
        <x:v>0</x:v>
      </x:c>
      <x:c r="N19" s="7" t="n">
        <x:v>-0.8781600735339115</x:v>
      </x:c>
      <x:c r="O19" s="7" t="n">
        <x:v>-0.5722104269680496</x:v>
      </x:c>
      <x:c r="P19" s="7" t="n">
        <x:v>0.7585614520728095</x:v>
      </x:c>
      <x:c r="Q19" s="7" t="n">
        <x:v>0.31170458883088875</x:v>
      </x:c>
    </x:row>
    <x:row r="20" ht="20" customHeight="1">
      <x:c r="A20" s="1" t="str">
        <x:v>S15</x:v>
      </x:c>
      <x:c r="B20" s="7" t="n">
        <x:v>43.97308136456305</x:v>
      </x:c>
      <x:c r="C20" s="7" t="n">
        <x:v>48.718375915943476</x:v>
      </x:c>
      <x:c r="D20" s="7" t="n">
        <x:v>-77.70800621599831</x:v>
      </x:c>
      <x:c r="E20" s="7" t="n">
        <x:v>0.3594412267773189</x:v>
      </x:c>
      <x:c r="F20" s="7" t="n">
        <x:v>0.29305750716463563</x:v>
      </x:c>
      <x:c r="G20" s="7" t="n">
        <x:v>-0.8859567156398026</x:v>
      </x:c>
      <x:c r="H20" s="7" t="n">
        <x:v>0.3321029205775568</x:v>
      </x:c>
      <x:c r="I20" s="7" t="n">
        <x:v>-0.49313172333722277</x:v>
      </x:c>
      <x:c r="J20" s="7" t="n">
        <x:v>-0.6669293318010003</x:v>
      </x:c>
      <x:c r="K20" s="7" t="n">
        <x:v>0.44914810471134015</x:v>
      </x:c>
      <x:c r="L20" s="7" t="n">
        <x:v>-0.9266410618091104</x:v>
      </x:c>
      <x:c r="M20" s="7" t="n">
        <x:v>0</x:v>
      </x:c>
      <x:c r="N20" s="7" t="n">
        <x:v>-0.375947260356136</x:v>
      </x:c>
      <x:c r="O20" s="7" t="n">
        <x:v>-0.11017416694534345</x:v>
      </x:c>
      <x:c r="P20" s="7" t="n">
        <x:v>0.9560948161633602</x:v>
      </x:c>
      <x:c r="Q20" s="7" t="n">
        <x:v>0.2715591196101689</x:v>
      </x:c>
    </x:row>
    <x:row r="21" ht="20" customHeight="1">
      <x:c r="A21" s="1" t="str">
        <x:v>S16</x:v>
      </x:c>
      <x:c r="B21" s="7" t="n">
        <x:v>-18.962664523138297</x:v>
      </x:c>
      <x:c r="C21" s="7" t="n">
        <x:v>31.866478941345235</x:v>
      </x:c>
      <x:c r="D21" s="7" t="n">
        <x:v>-86.41854364787557</x:v>
      </x:c>
      <x:c r="E21" s="7" t="n">
        <x:v>-0.057505135417223165</x:v>
      </x:c>
      <x:c r="F21" s="7" t="n">
        <x:v>0.14933568036872114</x:v>
      </x:c>
      <x:c r="G21" s="7" t="n">
        <x:v>-0.9871129692033525</x:v>
      </x:c>
      <x:c r="H21" s="7" t="n">
        <x:v>0.47437765588379593</x:v>
      </x:c>
      <x:c r="I21" s="7" t="n">
        <x:v>-0.44754664495875124</x:v>
      </x:c>
      <x:c r="J21" s="7" t="n">
        <x:v>-0.5202147260521249</x:v>
      </x:c>
      <x:c r="K21" s="7" t="n">
        <x:v>0.5514022841654478</x:v>
      </x:c>
      <x:c r="L21" s="7" t="n">
        <x:v>-0.9983074330716682</x:v>
      </x:c>
      <x:c r="M21" s="7" t="n">
        <x:v>0</x:v>
      </x:c>
      <x:c r="N21" s="7" t="n">
        <x:v>0.05815727876935665</x:v>
      </x:c>
      <x:c r="O21" s="7" t="n">
        <x:v>0.008684956793415254</x:v>
      </x:c>
      <x:c r="P21" s="7" t="n">
        <x:v>0.9887865566282803</x:v>
      </x:c>
      <x:c r="Q21" s="7" t="n">
        <x:v>0.1490829197349091</x:v>
      </x:c>
    </x:row>
    <x:row r="22" ht="20" customHeight="1">
      <x:c r="A22" s="1" t="str">
        <x:v>S17</x:v>
      </x:c>
      <x:c r="B22" s="7" t="n">
        <x:v>-64.99987889952227</x:v>
      </x:c>
      <x:c r="C22" s="7" t="n">
        <x:v>46.366671777260024</x:v>
      </x:c>
      <x:c r="D22" s="7" t="n">
        <x:v>-64.90209984223274</x:v>
      </x:c>
      <x:c r="E22" s="7" t="n">
        <x:v>-0.6546177328897845</x:v>
      </x:c>
      <x:c r="F22" s="7" t="n">
        <x:v>0.40572973020428893</x:v>
      </x:c>
      <x:c r="G22" s="7" t="n">
        <x:v>-0.6378550068899622</x:v>
      </x:c>
      <x:c r="H22" s="7" t="n">
        <x:v>0.5049497397768141</x:v>
      </x:c>
      <x:c r="I22" s="7" t="n">
        <x:v>-0.2053311841810282</x:v>
      </x:c>
      <x:c r="J22" s="7" t="n">
        <x:v>-0.31580123557044104</x:v>
      </x:c>
      <x:c r="K22" s="7" t="n">
        <x:v>0.7766173090488824</x:v>
      </x:c>
      <x:c r="L22" s="7" t="n">
        <x:v>-0.6978772675666067</x:v>
      </x:c>
      <x:c r="M22" s="7" t="n">
        <x:v>0</x:v>
      </x:c>
      <x:c r="N22" s="7" t="n">
        <x:v>0.716217368829999</x:v>
      </x:c>
      <x:c r="O22" s="7" t="n">
        <x:v>0.29059067982302117</x:v>
      </x:c>
      <x:c r="P22" s="7" t="n">
        <x:v>0.9139930995518265</x:v>
      </x:c>
      <x:c r="Q22" s="7" t="n">
        <x:v>0.2831495554855057</x:v>
      </x:c>
    </x:row>
    <x:row r="23" ht="20" customHeight="1">
      <x:c r="A23" s="1" t="str">
        <x:v>S18</x:v>
      </x:c>
      <x:c r="B23" s="7" t="n">
        <x:v>-83.44908043403665</x:v>
      </x:c>
      <x:c r="C23" s="7" t="n">
        <x:v>55.757613621627925</x:v>
      </x:c>
      <x:c r="D23" s="7" t="n">
        <x:v>-22.665374868683884</x:v>
      </x:c>
      <x:c r="E23" s="7" t="n">
        <x:v>-0.6526064150269841</x:v>
      </x:c>
      <x:c r="F23" s="7" t="n">
        <x:v>0.7246409488671625</x:v>
      </x:c>
      <x:c r="G23" s="7" t="n">
        <x:v>-0.2213602545411576</x:v>
      </x:c>
      <x:c r="H23" s="7" t="n">
        <x:v>0.36610294805445487</x:v>
      </x:c>
      <x:c r="I23" s="7" t="n">
        <x:v>-0.060399975101450454</x:v>
      </x:c>
      <x:c r="J23" s="7" t="n">
        <x:v>-0.15115984159476914</x:v>
      </x:c>
      <x:c r="K23" s="7" t="n">
        <x:v>0.9162265968212371</x:v>
      </x:c>
      <x:c r="L23" s="7" t="n">
        <x:v>-0.32121855237493857</x:v>
      </x:c>
      <x:c r="M23" s="7" t="n">
        <x:v>0</x:v>
      </x:c>
      <x:c r="N23" s="7" t="n">
        <x:v>0.947005090593577</x:v>
      </x:c>
      <x:c r="O23" s="7" t="n">
        <x:v>0.6862386674297628</x:v>
      </x:c>
      <x:c r="P23" s="7" t="n">
        <x:v>0.6891266177016372</x:v>
      </x:c>
      <x:c r="Q23" s="7" t="n">
        <x:v>0.23276811658671182</x:v>
      </x:c>
    </x:row>
    <x:row r="24" ht="20" customHeight="1">
      <x:c r="A24" s="1" t="str">
        <x:v>S19</x:v>
      </x:c>
      <x:c r="B24" s="7" t="n">
        <x:v>-79.51842605020865</x:v>
      </x:c>
      <x:c r="C24" s="7" t="n">
        <x:v>52.99872073067079</x:v>
      </x:c>
      <x:c r="D24" s="7" t="n">
        <x:v>34.582666492108146</x:v>
      </x:c>
      <x:c r="E24" s="7" t="n">
        <x:v>-0.6436650112360925</x:v>
      </x:c>
      <x:c r="F24" s="7" t="n">
        <x:v>0.647776696394363</x:v>
      </x:c>
      <x:c r="G24" s="7" t="n">
        <x:v>0.4075300049307358</x:v>
      </x:c>
      <x:c r="H24" s="7" t="n">
        <x:v>0.4030552957939726</x:v>
      </x:c>
      <x:c r="I24" s="7" t="n">
        <x:v>0.11686778998189204</x:v>
      </x:c>
      <x:c r="J24" s="7" t="n">
        <x:v>0.2527754933277509</x:v>
      </x:c>
      <x:c r="K24" s="7" t="n">
        <x:v>0.8717757155198198</x:v>
      </x:c>
      <x:c r="L24" s="7" t="n">
        <x:v>0.5349354364432297</x:v>
      </x:c>
      <x:c r="M24" s="7" t="n">
        <x:v>0</x:v>
      </x:c>
      <x:c r="N24" s="7" t="n">
        <x:v>0.844892939275321</x:v>
      </x:c>
      <x:c r="O24" s="7" t="n">
        <x:v>0.5473019570106908</x:v>
      </x:c>
      <x:c r="P24" s="7" t="n">
        <x:v>0.7618302643032797</x:v>
      </x:c>
      <x:c r="Q24" s="7" t="n">
        <x:v>-0.34651870980347216</x:v>
      </x:c>
    </x:row>
    <x:row r="25" ht="20" customHeight="1">
      <x:c r="A25" s="1" t="str">
        <x:v>S20</x:v>
      </x:c>
      <x:c r="B25" s="7" t="n">
        <x:v>-30.579853784466287</x:v>
      </x:c>
      <x:c r="C25" s="7" t="n">
        <x:v>52.74017729525202</x:v>
      </x:c>
      <x:c r="D25" s="7" t="n">
        <x:v>66.29345649777558</x:v>
      </x:c>
      <x:c r="E25" s="7" t="n">
        <x:v>-0.20967632277837808</x:v>
      </x:c>
      <x:c r="F25" s="7" t="n">
        <x:v>0.11147448071518362</x:v>
      </x:c>
      <x:c r="G25" s="7" t="n">
        <x:v>0.9713955321162522</x:v>
      </x:c>
      <x:c r="H25" s="7" t="n">
        <x:v>0.5186513123754312</x:v>
      </x:c>
      <x:c r="I25" s="7" t="n">
        <x:v>0.418644928087814</x:v>
      </x:c>
      <x:c r="J25" s="7" t="n">
        <x:v>0.46823150204095976</x:v>
      </x:c>
      <x:c r="K25" s="7" t="n">
        <x:v>0.5800831844262154</x:v>
      </x:c>
      <x:c r="L25" s="7" t="n">
        <x:v>0.9774879242493053</x:v>
      </x:c>
      <x:c r="M25" s="7" t="n">
        <x:v>0</x:v>
      </x:c>
      <x:c r="N25" s="7" t="n">
        <x:v>0.21099136936563131</x:v>
      </x:c>
      <x:c r="O25" s="7" t="n">
        <x:v>0.023520153335419267</x:v>
      </x:c>
      <x:c r="P25" s="7" t="n">
        <x:v>0.9937672967799254</x:v>
      </x:c>
      <x:c r="Q25" s="7" t="n">
        <x:v>-0.10896495876105411</x:v>
      </x:c>
    </x:row>
    <x:row r="26" ht="20" customHeight="1">
      <x:c r="A26" s="1" t="str">
        <x:v>S21</x:v>
      </x:c>
      <x:c r="B26" s="7" t="n">
        <x:v>34.85543088548914</x:v>
      </x:c>
      <x:c r="C26" s="7" t="n">
        <x:v>-10.594831765894215</x:v>
      </x:c>
      <x:c r="D26" s="7" t="n">
        <x:v>78.93424243602452</x:v>
      </x:c>
      <x:c r="E26" s="7" t="n">
        <x:v>0.12642887750244844</x:v>
      </x:c>
      <x:c r="F26" s="7" t="n">
        <x:v>-0.10167741138938924</x:v>
      </x:c>
      <x:c r="G26" s="7" t="n">
        <x:v>0.9867509528480953</x:v>
      </x:c>
      <x:c r="H26" s="7" t="n">
        <x:v>0.4903233532767477</x:v>
      </x:c>
      <x:c r="I26" s="7" t="n">
        <x:v>0.5571550187570244</x:v>
      </x:c>
      <x:c r="J26" s="7" t="n">
        <x:v>0.50311235751561</x:v>
      </x:c>
      <x:c r="K26" s="7" t="n">
        <x:v>0.44276319858406304</x:v>
      </x:c>
      <x:c r="L26" s="7" t="n">
        <x:v>0.9918915075053873</x:v>
      </x:c>
      <x:c r="M26" s="7" t="n">
        <x:v>0</x:v>
      </x:c>
      <x:c r="N26" s="7" t="n">
        <x:v>-0.12708751842211063</x:v>
      </x:c>
      <x:c r="O26" s="7" t="n">
        <x:v>0.012921929893061523</x:v>
      </x:c>
      <x:c r="P26" s="7" t="n">
        <x:v>0.9948174224515536</x:v>
      </x:c>
      <x:c r="Q26" s="7" t="n">
        <x:v>0.10085296086226671</x:v>
      </x:c>
    </x:row>
    <x:row r="27" ht="20" customHeight="1">
      <x:c r="A27" s="1" t="str">
        <x:v>S22</x:v>
      </x:c>
      <x:c r="B27" s="7" t="n">
        <x:v>-34.846084280384645</x:v>
      </x:c>
      <x:c r="C27" s="7" t="n">
        <x:v>-10.582827399438573</x:v>
      </x:c>
      <x:c r="D27" s="7" t="n">
        <x:v>78.9154980373609</x:v>
      </x:c>
      <x:c r="E27" s="7" t="n">
        <x:v>-0.12572976519769608</x:v>
      </x:c>
      <x:c r="F27" s="7" t="n">
        <x:v>-0.09984170227422207</x:v>
      </x:c>
      <x:c r="G27" s="7" t="n">
        <x:v>0.9870276899005002</x:v>
      </x:c>
      <x:c r="H27" s="7" t="n">
        <x:v>0.5565112227593061</x:v>
      </x:c>
      <x:c r="I27" s="7" t="n">
        <x:v>0.4901184653530745</x:v>
      </x:c>
      <x:c r="J27" s="7" t="n">
        <x:v>0.4433997238216499</x:v>
      </x:c>
      <x:c r="K27" s="7" t="n">
        <x:v>0.5034638356205673</x:v>
      </x:c>
      <x:c r="L27" s="7" t="n">
        <x:v>0.9919843042378045</x:v>
      </x:c>
      <x:c r="M27" s="7" t="n">
        <x:v>0</x:v>
      </x:c>
      <x:c r="N27" s="7" t="n">
        <x:v>0.12636114966966325</x:v>
      </x:c>
      <x:c r="O27" s="7" t="n">
        <x:v>-0.012616112284346932</x:v>
      </x:c>
      <x:c r="P27" s="7" t="n">
        <x:v>0.9950033339074728</x:v>
      </x:c>
      <x:c r="Q27" s="7" t="n">
        <x:v>0.0990414015644122</x:v>
      </x:c>
    </x:row>
    <x:row r="28" ht="20" customHeight="1">
      <x:c r="A28" s="1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</x:row>
    <x:row r="29" ht="20" customHeight="1">
      <x:c r="A29" s="1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</x:row>
    <x:row r="30" ht="20" customHeight="1">
      <x:c r="A30" s="1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</x:row>
    <x:row r="31" ht="20" customHeight="1">
      <x:c r="A31" s="1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</x:row>
    <x:row r="32" ht="20" customHeight="1">
      <x:c r="A32" s="1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</x:row>
    <x:row r="33" ht="20" customHeight="1">
      <x:c r="A33" s="1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</x:row>
    <x:row r="34" ht="20" customHeight="1">
      <x:c r="A34" s="1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</x:row>
    <x:row r="35" ht="2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0" customHeight="1">
      <x:c r="A37" s="1" t="str">
        <x:v>Numerical checks (not physical accuracy)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0" customHeight="1">
      <x:c r="A38" s="1" t="str">
        <x:v>Original datum fit max (mm)</x:v>
      </x:c>
      <x:c r="B38" s="1"/>
      <x:c r="C38" s="1"/>
      <x:c r="D38" s="9" t="n">
        <x:v>4.121760358735053e-13</x:v>
      </x:c>
      <x:c r="E38" s="1" t="str">
        <x:v>10 datums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0" customHeight="1">
      <x:c r="A39" s="1" t="str">
        <x:v>Leave-one-out max (mm)</x:v>
      </x:c>
      <x:c r="B39" s="1"/>
      <x:c r="C39" s="1"/>
      <x:c r="D39" s="9" t="n">
        <x:v>4.67286527266918e-13</x:v>
      </x:c>
      <x:c r="E39" s="1" t="str">
        <x:v>10 held-out predictions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0" customHeight="1">
      <x:c r="A40" s="1" t="str">
        <x:v>Archived STEP seat max (mm)</x:v>
      </x:c>
      <x:c r="B40" s="1"/>
      <x:c r="C40" s="1"/>
      <x:c r="D40" s="9" t="n">
        <x:v>9.995195470872896e-12</x:v>
      </x:c>
      <x:c r="E40" s="1" t="str">
        <x:v>Historical 24-station construction check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0" customHeight="1">
      <x:c r="A41" s="1" t="str">
        <x:v>Jacobian rank</x:v>
      </x:c>
      <x:c r="B41" s="1"/>
      <x:c r="C41" s="1"/>
      <x:c r="D41" s="1" t="n">
        <x:v>7</x:v>
      </x:c>
      <x:c r="E41" s="1" t="str">
        <x:v>7 of 7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0" customHeight="1">
      <x:c r="A42" s="1" t="str">
        <x:v>New ball centre offset (mm)</x:v>
      </x:c>
      <x:c r="B42" s="1"/>
      <x:c r="C42" s="1"/>
      <x:c r="D42" s="1" t="str">
        <x:v>NOT MEASURED</x:v>
      </x:c>
      <x:c r="E42" s="1" t="str">
        <x:v>No sphere-centre table released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0" customHeight="1">
      <x:c r="A44" s="1" t="str">
        <x:v>Sources: archived CAD registration/station layout; 2026-10-11 rear-only restoration.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0" customHeight="1">
      <x:c r="A45" s="1" t="str">
        <x:v>Quaternions: offline proper-rotation calculation from R × [u v n]; fixed audited CAD outputs.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0" customHeight="1">
      <x:c r="A46" s="1" t="str">
        <x:v>Seat coordinates: mm in original CAD frame. Full provenance and exact hashes: CAD_registration.md.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</x:sheetData>
  <x:pageMargins left="0.7" right="0.7" top="0.75" bottom="0.75" header="0.3" footer="0.3"/>
</x:worksheet>
</file>